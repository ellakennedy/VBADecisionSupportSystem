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chchala/Downloads/"/>
    </mc:Choice>
  </mc:AlternateContent>
  <xr:revisionPtr revIDLastSave="0" documentId="13_ncr:1_{C13263AF-E360-9C46-AD9D-DD828EB1F362}" xr6:coauthVersionLast="47" xr6:coauthVersionMax="47" xr10:uidLastSave="{00000000-0000-0000-0000-000000000000}"/>
  <bookViews>
    <workbookView xWindow="0" yWindow="760" windowWidth="28800" windowHeight="17260" xr2:uid="{00000000-000D-0000-FFFF-FFFF00000000}"/>
  </bookViews>
  <sheets>
    <sheet name="Home" sheetId="10" r:id="rId1"/>
    <sheet name="Time Spending Input" sheetId="8" r:id="rId2"/>
    <sheet name="ToDoList" sheetId="29" r:id="rId3"/>
    <sheet name="Trackers" sheetId="30" r:id="rId4"/>
    <sheet name="Output" sheetId="28" r:id="rId5"/>
    <sheet name="Schedule" sheetId="26" r:id="rId6"/>
    <sheet name="Calendar" sheetId="27" r:id="rId7"/>
  </sheets>
  <functionGroups builtInGroupCount="19"/>
  <externalReferences>
    <externalReference r:id="rId8"/>
  </externalReferences>
  <definedNames>
    <definedName name="End" localSheetId="6">Schedule!#REF!</definedName>
    <definedName name="End" localSheetId="5">Schedule!#REF!</definedName>
    <definedName name="End" localSheetId="3">#REF!</definedName>
    <definedName name="End">#REF!</definedName>
    <definedName name="Start" localSheetId="6">Schedule!$C$3:$C$75</definedName>
    <definedName name="Start" localSheetId="5">Schedule!$C$3:$C$75</definedName>
    <definedName name="Start">#REF!</definedName>
    <definedName name="TimeList">#REF!</definedName>
    <definedName name="TimeSpendingList">#REF!</definedName>
    <definedName name="Title" localSheetId="6">Schedule!$B$3:$B$75</definedName>
    <definedName name="Title" localSheetId="5">Schedule!$B$3:$B$75</definedName>
    <definedName name="Titl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26" l="1"/>
  <c r="N7" i="29"/>
  <c r="N6" i="29"/>
  <c r="N5" i="29"/>
  <c r="H6" i="26" l="1"/>
  <c r="B10" i="29" l="1"/>
  <c r="K7" i="28"/>
  <c r="B6" i="27" l="1"/>
  <c r="C6" i="27" s="1"/>
  <c r="D6" i="27" s="1"/>
  <c r="E6" i="27" s="1"/>
  <c r="F6" i="27" s="1"/>
  <c r="G6" i="27" s="1"/>
  <c r="H6" i="27" s="1"/>
  <c r="D7" i="27"/>
  <c r="B7" i="27"/>
  <c r="C7" i="27"/>
  <c r="B12" i="27" l="1"/>
  <c r="C12" i="27" s="1"/>
  <c r="D12" i="27" s="1"/>
  <c r="E12" i="27" s="1"/>
  <c r="F12" i="27" s="1"/>
  <c r="G12" i="27" s="1"/>
  <c r="H12" i="27" s="1"/>
  <c r="B18" i="27" s="1"/>
  <c r="C18" i="27" s="1"/>
  <c r="D18" i="27" s="1"/>
  <c r="E18" i="27" s="1"/>
  <c r="F18" i="27" s="1"/>
  <c r="G18" i="27" s="1"/>
  <c r="H18" i="27" s="1"/>
  <c r="B24" i="27" s="1"/>
  <c r="C24" i="27" s="1"/>
  <c r="D24" i="27" s="1"/>
  <c r="E24" i="27" s="1"/>
  <c r="F24" i="27" s="1"/>
  <c r="G24" i="27" s="1"/>
  <c r="H24" i="27" s="1"/>
  <c r="B30" i="27" s="1"/>
  <c r="C30" i="27" s="1"/>
  <c r="D30" i="27" s="1"/>
  <c r="E30" i="27" s="1"/>
  <c r="F30" i="27" s="1"/>
  <c r="G30" i="27" s="1"/>
  <c r="H30" i="27" s="1"/>
  <c r="B36" i="27" s="1"/>
  <c r="C36" i="27" s="1"/>
  <c r="D36" i="27" s="1"/>
  <c r="E36" i="27" s="1"/>
  <c r="F36" i="27" s="1"/>
  <c r="G36" i="27" s="1"/>
  <c r="H36" i="27" s="1"/>
  <c r="J29" i="27" a="1"/>
  <c r="J29" i="27" s="1"/>
  <c r="K29" i="27" a="1"/>
  <c r="K29" i="27" s="1"/>
  <c r="J30" i="27" a="1"/>
  <c r="J30" i="27" s="1"/>
  <c r="K30" i="27" a="1"/>
  <c r="K30" i="27" s="1"/>
  <c r="J31" i="27" a="1"/>
  <c r="J31" i="27" s="1"/>
  <c r="K31" i="27" a="1"/>
  <c r="K31" i="27" s="1"/>
  <c r="J32" i="27" a="1"/>
  <c r="J32" i="27" s="1"/>
  <c r="K32" i="27" a="1"/>
  <c r="K32" i="27" s="1"/>
  <c r="J33" i="27" a="1"/>
  <c r="J33" i="27" s="1"/>
  <c r="K33" i="27" a="1"/>
  <c r="K33" i="27" s="1"/>
  <c r="J34" i="27" a="1"/>
  <c r="J34" i="27" s="1"/>
  <c r="K34" i="27" a="1"/>
  <c r="K34" i="27" s="1"/>
  <c r="J35" i="27" a="1"/>
  <c r="J35" i="27" s="1"/>
  <c r="K35" i="27" a="1"/>
  <c r="K35" i="27" s="1"/>
  <c r="J36" i="27" a="1"/>
  <c r="J36" i="27" s="1"/>
  <c r="K36" i="27" a="1"/>
  <c r="K36" i="27" s="1"/>
  <c r="J37" i="27" a="1"/>
  <c r="J37" i="27" s="1"/>
  <c r="K37" i="27" a="1"/>
  <c r="K37" i="27" s="1"/>
  <c r="J38" i="27" a="1"/>
  <c r="J38" i="27" s="1"/>
  <c r="K38" i="27" a="1"/>
  <c r="K38" i="27" s="1"/>
  <c r="J39" i="27" a="1"/>
  <c r="J39" i="27" s="1"/>
  <c r="K39" i="27" a="1"/>
  <c r="K39" i="27" s="1"/>
  <c r="H5" i="26"/>
  <c r="H21" i="26"/>
  <c r="D25" i="27"/>
  <c r="H31" i="27"/>
  <c r="F31" i="27"/>
  <c r="B19" i="27"/>
  <c r="E19" i="27"/>
  <c r="G13" i="27"/>
  <c r="G7" i="27"/>
  <c r="D19" i="27"/>
  <c r="D37" i="27"/>
  <c r="C37" i="27"/>
  <c r="B25" i="27"/>
  <c r="F13" i="27"/>
  <c r="D13" i="27"/>
  <c r="E31" i="27"/>
  <c r="B37" i="27"/>
  <c r="E25" i="27"/>
  <c r="E13" i="27"/>
  <c r="H7" i="27"/>
  <c r="H19" i="27"/>
  <c r="G31" i="27"/>
  <c r="G25" i="27"/>
  <c r="H25" i="27"/>
  <c r="F37" i="27"/>
  <c r="C19" i="27"/>
  <c r="G37" i="27"/>
  <c r="F19" i="27"/>
  <c r="C25" i="27"/>
  <c r="C31" i="27"/>
  <c r="C13" i="27"/>
  <c r="B31" i="27"/>
  <c r="F7" i="27"/>
  <c r="H13" i="27"/>
  <c r="F25" i="27"/>
  <c r="D31" i="27"/>
  <c r="B13" i="27"/>
  <c r="G19" i="27"/>
  <c r="E37" i="27"/>
  <c r="E7" i="27"/>
  <c r="H37" i="27"/>
</calcChain>
</file>

<file path=xl/sharedStrings.xml><?xml version="1.0" encoding="utf-8"?>
<sst xmlns="http://schemas.openxmlformats.org/spreadsheetml/2006/main" count="275" uniqueCount="111">
  <si>
    <t>Category</t>
  </si>
  <si>
    <t>Sleep Tracker</t>
  </si>
  <si>
    <t xml:space="preserve"> Leisure Tracker</t>
  </si>
  <si>
    <t xml:space="preserve"> Exercise Tracker</t>
  </si>
  <si>
    <t>Date</t>
  </si>
  <si>
    <t>Hours of Sleep</t>
  </si>
  <si>
    <t>Hours of Leisure Time</t>
  </si>
  <si>
    <t>Hours of Exercise</t>
  </si>
  <si>
    <t>Name</t>
  </si>
  <si>
    <t>Program</t>
  </si>
  <si>
    <t>Year</t>
  </si>
  <si>
    <t>Expected Time/ Day</t>
  </si>
  <si>
    <t>Description</t>
  </si>
  <si>
    <t>Course Name</t>
  </si>
  <si>
    <t>Start Date</t>
  </si>
  <si>
    <t>End Date</t>
  </si>
  <si>
    <t>Time</t>
  </si>
  <si>
    <t>Days Repeating</t>
  </si>
  <si>
    <t>Todo List</t>
  </si>
  <si>
    <t>Title</t>
  </si>
  <si>
    <t>Details</t>
  </si>
  <si>
    <t>Status</t>
  </si>
  <si>
    <t>Priority</t>
  </si>
  <si>
    <t>Deadline</t>
  </si>
  <si>
    <t>Happy</t>
  </si>
  <si>
    <t>Content</t>
  </si>
  <si>
    <t>Stressed</t>
  </si>
  <si>
    <t>Unsure</t>
  </si>
  <si>
    <t>Sad</t>
  </si>
  <si>
    <t>Angry</t>
  </si>
  <si>
    <t>Count</t>
  </si>
  <si>
    <t>Mood</t>
  </si>
  <si>
    <t>Previous month</t>
  </si>
  <si>
    <t>Next month</t>
  </si>
  <si>
    <t>Selected date:</t>
  </si>
  <si>
    <t>Sun</t>
  </si>
  <si>
    <t>Mon</t>
  </si>
  <si>
    <t>Tue</t>
  </si>
  <si>
    <t>Wed</t>
  </si>
  <si>
    <t>Thu</t>
  </si>
  <si>
    <t>Fri</t>
  </si>
  <si>
    <t>Sat</t>
  </si>
  <si>
    <t>Every month on the 3rd:</t>
  </si>
  <si>
    <t>Date &amp; Time</t>
  </si>
  <si>
    <t>Title &amp; Time</t>
  </si>
  <si>
    <t>Recommended Time(h)</t>
  </si>
  <si>
    <t>Task</t>
  </si>
  <si>
    <t>Recommended Start Date for Tasks</t>
  </si>
  <si>
    <t>You are getting more than the recommended 8 hours of sleep. Make sure you are keeping a healthy balance</t>
  </si>
  <si>
    <t>Average Hours of Sleep (hours)</t>
  </si>
  <si>
    <t>Sleep</t>
  </si>
  <si>
    <t>Recommendations</t>
  </si>
  <si>
    <t>In progress</t>
  </si>
  <si>
    <t>Weight (%)</t>
  </si>
  <si>
    <t>Task Type</t>
  </si>
  <si>
    <t>Assignment</t>
  </si>
  <si>
    <t>Instructions</t>
  </si>
  <si>
    <t>1. Click the Add Task Button to add a new task</t>
  </si>
  <si>
    <t>2. If the task is a school related task enter "Assignment", "Quiz", "Test/Exam", or "Project"</t>
  </si>
  <si>
    <t>3. Please fill in the priority section. This will help provide recommendations</t>
  </si>
  <si>
    <t>4. Enter your deadline</t>
  </si>
  <si>
    <t>5. When an event is complete change the status to "Done" you can manually click the cell to do this</t>
  </si>
  <si>
    <t>7. To clear all tasks click the clear button</t>
  </si>
  <si>
    <t>Click the Refresh Button to update your Schedule</t>
  </si>
  <si>
    <t>6. Add a weighting ONLY for school-related tasks, otherwise leave blank.</t>
  </si>
  <si>
    <t>High</t>
  </si>
  <si>
    <t>Math 116 Assignment</t>
  </si>
  <si>
    <t>Finish Crowdmark &amp; Mobius</t>
  </si>
  <si>
    <t>Math 115 Assignment</t>
  </si>
  <si>
    <t>Phys 115</t>
  </si>
  <si>
    <t>Study</t>
  </si>
  <si>
    <t>Quiz</t>
  </si>
  <si>
    <t>Med</t>
  </si>
  <si>
    <t>Todo</t>
  </si>
  <si>
    <t>Studying for Phys 115 Exam</t>
  </si>
  <si>
    <t>Chapters 8, 9 &amp; 10</t>
  </si>
  <si>
    <t>Study for Chem Exam</t>
  </si>
  <si>
    <t>Test/Exam</t>
  </si>
  <si>
    <t>Chem Unit 6 Assignment</t>
  </si>
  <si>
    <t>Chem Unit 6 Assignment (5 %)</t>
  </si>
  <si>
    <t>Done</t>
  </si>
  <si>
    <t>Math 116 Assignment (5 %)</t>
  </si>
  <si>
    <t>Math 115 Assignment (6 %)</t>
  </si>
  <si>
    <t>Phys 115 (8 %)</t>
  </si>
  <si>
    <t>Studying for Phys 115 Exam (25 %)</t>
  </si>
  <si>
    <t>Study for Chem Exam (25 %)</t>
  </si>
  <si>
    <t>Today:</t>
  </si>
  <si>
    <t>Doing physics homework</t>
  </si>
  <si>
    <t>MGMT</t>
  </si>
  <si>
    <t>Self - Study</t>
  </si>
  <si>
    <t>unit 9</t>
  </si>
  <si>
    <t>05:00:00 - Doing physics homework</t>
  </si>
  <si>
    <t>Traveling home</t>
  </si>
  <si>
    <t>Commute</t>
  </si>
  <si>
    <t>Waterloo to Vaughan</t>
  </si>
  <si>
    <t>06:00:00 - Traveling home</t>
  </si>
  <si>
    <t>PHYS 115</t>
  </si>
  <si>
    <t>Wednesday</t>
  </si>
  <si>
    <t>Math 115</t>
  </si>
  <si>
    <t>Monday</t>
  </si>
  <si>
    <t>Math 116</t>
  </si>
  <si>
    <t>MSCI 100</t>
  </si>
  <si>
    <t>Tuesday</t>
  </si>
  <si>
    <t>CHE 102</t>
  </si>
  <si>
    <t>Thursday</t>
  </si>
  <si>
    <t>04:00:00 - PHYS 115</t>
  </si>
  <si>
    <t>04:00:00 - Math 115</t>
  </si>
  <si>
    <t>02:00:00 - Math 116</t>
  </si>
  <si>
    <t>08:00:00 - MSCI 100</t>
  </si>
  <si>
    <t>06:00:00 - CHE 102</t>
  </si>
  <si>
    <t>Hello, Achchala!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</si>
</sst>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dd/mm/yyyy;@"/>
    <numFmt numFmtId="165" formatCode="yyyy\-mm\-dd;@"/>
    <numFmt numFmtId="166" formatCode="mmmm\ yyyy"/>
    <numFmt numFmtId="167" formatCode="dd"/>
    <numFmt numFmtId="168" formatCode="[$-409]m/d/yy\ h:mm\ AM/PM;@"/>
    <numFmt numFmtId="169" formatCode="m/d/yy\ h:mm;@"/>
    <numFmt numFmtId="170" formatCode="yyyy\-mm\-dd\ hh:mm:ss;@"/>
    <numFmt numFmtId="171" formatCode="yyyy\-mm\-dd\ hh:mm;@"/>
    <numFmt numFmtId="172" formatCode="[$-F800]dddd\,\ mmmm\ dd\,\ yyyy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00">
    <xf numFmtId="0" fontId="0" fillId="0" borderId="0" xfId="0"/>
    <xf numFmtId="0" fontId="1" fillId="0" borderId="0" xfId="0" applyFont="1"/>
    <xf numFmtId="164" fontId="2" fillId="0" borderId="0" xfId="0" applyNumberFormat="1" applyFont="1" applyBorder="1"/>
    <xf numFmtId="0" fontId="0" fillId="0" borderId="0" xfId="0" applyBorder="1"/>
    <xf numFmtId="14" fontId="0" fillId="0" borderId="0" xfId="0" applyNumberFormat="1" applyBorder="1"/>
    <xf numFmtId="164" fontId="0" fillId="0" borderId="0" xfId="0" applyNumberFormat="1"/>
    <xf numFmtId="165" fontId="0" fillId="0" borderId="0" xfId="0" applyNumberFormat="1"/>
    <xf numFmtId="0" fontId="0" fillId="2" borderId="1" xfId="0" applyFill="1" applyBorder="1"/>
    <xf numFmtId="0" fontId="0" fillId="2" borderId="2" xfId="0" applyFont="1" applyFill="1" applyBorder="1"/>
    <xf numFmtId="0" fontId="0" fillId="4" borderId="0" xfId="0" applyFill="1"/>
    <xf numFmtId="165" fontId="0" fillId="4" borderId="0" xfId="0" applyNumberFormat="1" applyFill="1"/>
    <xf numFmtId="0" fontId="0" fillId="0" borderId="7" xfId="0" applyBorder="1"/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7" fillId="5" borderId="3" xfId="0" applyFont="1" applyFill="1" applyBorder="1"/>
    <xf numFmtId="0" fontId="0" fillId="6" borderId="3" xfId="0" applyFill="1" applyBorder="1"/>
    <xf numFmtId="0" fontId="0" fillId="7" borderId="3" xfId="0" applyFill="1" applyBorder="1"/>
    <xf numFmtId="0" fontId="3" fillId="8" borderId="3" xfId="0" applyFont="1" applyFill="1" applyBorder="1"/>
    <xf numFmtId="0" fontId="0" fillId="9" borderId="3" xfId="0" applyFill="1" applyBorder="1"/>
    <xf numFmtId="0" fontId="3" fillId="10" borderId="6" xfId="0" applyFont="1" applyFill="1" applyBorder="1"/>
    <xf numFmtId="0" fontId="10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14" fontId="0" fillId="0" borderId="0" xfId="0" applyNumberFormat="1"/>
    <xf numFmtId="0" fontId="9" fillId="0" borderId="0" xfId="1"/>
    <xf numFmtId="0" fontId="0" fillId="0" borderId="0" xfId="0" applyAlignment="1"/>
    <xf numFmtId="0" fontId="1" fillId="0" borderId="0" xfId="0" applyFont="1" applyFill="1" applyBorder="1" applyAlignment="1">
      <alignment horizontal="left"/>
    </xf>
    <xf numFmtId="14" fontId="0" fillId="0" borderId="0" xfId="0" applyNumberFormat="1" applyAlignment="1">
      <alignment horizontal="left"/>
    </xf>
    <xf numFmtId="0" fontId="8" fillId="11" borderId="10" xfId="0" applyFont="1" applyFill="1" applyBorder="1" applyAlignment="1">
      <alignment horizontal="center"/>
    </xf>
    <xf numFmtId="0" fontId="8" fillId="11" borderId="1" xfId="0" applyFont="1" applyFill="1" applyBorder="1" applyAlignment="1">
      <alignment horizontal="center"/>
    </xf>
    <xf numFmtId="167" fontId="1" fillId="0" borderId="5" xfId="0" applyNumberFormat="1" applyFont="1" applyBorder="1" applyAlignment="1">
      <alignment horizontal="left"/>
    </xf>
    <xf numFmtId="167" fontId="1" fillId="0" borderId="10" xfId="0" applyNumberFormat="1" applyFont="1" applyBorder="1" applyAlignment="1">
      <alignment horizontal="left"/>
    </xf>
    <xf numFmtId="0" fontId="1" fillId="0" borderId="9" xfId="0" applyFont="1" applyBorder="1"/>
    <xf numFmtId="0" fontId="1" fillId="0" borderId="9" xfId="0" applyFont="1" applyBorder="1" applyAlignment="1">
      <alignment horizontal="left" indent="1"/>
    </xf>
    <xf numFmtId="168" fontId="0" fillId="0" borderId="0" xfId="0" applyNumberFormat="1" applyAlignment="1">
      <alignment horizontal="left" indent="1"/>
    </xf>
    <xf numFmtId="0" fontId="0" fillId="0" borderId="0" xfId="0" quotePrefix="1"/>
    <xf numFmtId="14" fontId="0" fillId="0" borderId="0" xfId="0" quotePrefix="1" applyNumberFormat="1"/>
    <xf numFmtId="168" fontId="0" fillId="2" borderId="1" xfId="0" applyNumberFormat="1" applyFill="1" applyBorder="1"/>
    <xf numFmtId="168" fontId="0" fillId="2" borderId="1" xfId="0" applyNumberFormat="1" applyFont="1" applyFill="1" applyBorder="1"/>
    <xf numFmtId="168" fontId="0" fillId="0" borderId="0" xfId="0" applyNumberFormat="1"/>
    <xf numFmtId="0" fontId="0" fillId="0" borderId="0" xfId="0" applyNumberFormat="1"/>
    <xf numFmtId="0" fontId="8" fillId="11" borderId="2" xfId="0" applyFont="1" applyFill="1" applyBorder="1" applyAlignment="1">
      <alignment horizontal="center"/>
    </xf>
    <xf numFmtId="0" fontId="1" fillId="0" borderId="0" xfId="0" applyFont="1" applyBorder="1" applyAlignment="1">
      <alignment horizontal="left" indent="1"/>
    </xf>
    <xf numFmtId="168" fontId="9" fillId="0" borderId="0" xfId="1" applyNumberFormat="1" applyBorder="1" applyAlignment="1">
      <alignment horizontal="left" indent="1"/>
    </xf>
    <xf numFmtId="0" fontId="0" fillId="0" borderId="0" xfId="0" applyBorder="1" applyAlignment="1">
      <alignment horizontal="left" indent="1"/>
    </xf>
    <xf numFmtId="22" fontId="0" fillId="0" borderId="0" xfId="0" applyNumberFormat="1" applyBorder="1" applyAlignment="1">
      <alignment horizontal="left" indent="1"/>
    </xf>
    <xf numFmtId="169" fontId="9" fillId="0" borderId="0" xfId="1" applyNumberFormat="1" applyBorder="1"/>
    <xf numFmtId="0" fontId="0" fillId="0" borderId="7" xfId="0" applyFill="1" applyBorder="1"/>
    <xf numFmtId="22" fontId="0" fillId="2" borderId="1" xfId="0" applyNumberFormat="1" applyFill="1" applyBorder="1"/>
    <xf numFmtId="0" fontId="0" fillId="0" borderId="13" xfId="0" applyBorder="1"/>
    <xf numFmtId="0" fontId="0" fillId="2" borderId="2" xfId="0" applyNumberFormat="1" applyFont="1" applyFill="1" applyBorder="1"/>
    <xf numFmtId="0" fontId="0" fillId="2" borderId="1" xfId="0" applyNumberFormat="1" applyFill="1" applyBorder="1"/>
    <xf numFmtId="0" fontId="13" fillId="3" borderId="14" xfId="0" applyFont="1" applyFill="1" applyBorder="1"/>
    <xf numFmtId="0" fontId="13" fillId="3" borderId="15" xfId="0" applyFont="1" applyFill="1" applyBorder="1"/>
    <xf numFmtId="0" fontId="13" fillId="3" borderId="15" xfId="0" applyNumberFormat="1" applyFont="1" applyFill="1" applyBorder="1"/>
    <xf numFmtId="168" fontId="13" fillId="3" borderId="16" xfId="0" applyNumberFormat="1" applyFont="1" applyFill="1" applyBorder="1"/>
    <xf numFmtId="0" fontId="13" fillId="13" borderId="14" xfId="0" applyFont="1" applyFill="1" applyBorder="1"/>
    <xf numFmtId="0" fontId="13" fillId="13" borderId="15" xfId="0" applyFont="1" applyFill="1" applyBorder="1"/>
    <xf numFmtId="0" fontId="13" fillId="13" borderId="16" xfId="0" applyFont="1" applyFill="1" applyBorder="1"/>
    <xf numFmtId="0" fontId="0" fillId="14" borderId="2" xfId="0" applyFont="1" applyFill="1" applyBorder="1"/>
    <xf numFmtId="165" fontId="0" fillId="14" borderId="2" xfId="0" applyNumberFormat="1" applyFont="1" applyFill="1" applyBorder="1"/>
    <xf numFmtId="20" fontId="0" fillId="14" borderId="2" xfId="0" applyNumberFormat="1" applyFont="1" applyFill="1" applyBorder="1"/>
    <xf numFmtId="0" fontId="0" fillId="14" borderId="1" xfId="0" applyFill="1" applyBorder="1"/>
    <xf numFmtId="165" fontId="0" fillId="14" borderId="1" xfId="0" applyNumberFormat="1" applyFill="1" applyBorder="1"/>
    <xf numFmtId="20" fontId="0" fillId="14" borderId="1" xfId="0" applyNumberFormat="1" applyFill="1" applyBorder="1" applyAlignment="1">
      <alignment horizontal="left"/>
    </xf>
    <xf numFmtId="14" fontId="0" fillId="14" borderId="1" xfId="0" applyNumberFormat="1" applyFill="1" applyBorder="1"/>
    <xf numFmtId="20" fontId="0" fillId="14" borderId="1" xfId="0" applyNumberFormat="1" applyFill="1" applyBorder="1"/>
    <xf numFmtId="20" fontId="0" fillId="0" borderId="0" xfId="0" applyNumberFormat="1"/>
    <xf numFmtId="14" fontId="0" fillId="12" borderId="0" xfId="0" applyNumberFormat="1" applyFill="1"/>
    <xf numFmtId="14" fontId="1" fillId="0" borderId="0" xfId="0" applyNumberFormat="1" applyFont="1"/>
    <xf numFmtId="0" fontId="0" fillId="0" borderId="0" xfId="0" applyFont="1"/>
    <xf numFmtId="14" fontId="2" fillId="0" borderId="0" xfId="0" applyNumberFormat="1" applyFont="1"/>
    <xf numFmtId="0" fontId="2" fillId="0" borderId="0" xfId="0" applyFont="1"/>
    <xf numFmtId="0" fontId="0" fillId="4" borderId="0" xfId="0" applyNumberFormat="1" applyFill="1"/>
    <xf numFmtId="0" fontId="12" fillId="0" borderId="0" xfId="0" applyFont="1" applyBorder="1" applyAlignment="1"/>
    <xf numFmtId="170" fontId="0" fillId="2" borderId="1" xfId="0" applyNumberFormat="1" applyFill="1" applyBorder="1"/>
    <xf numFmtId="165" fontId="0" fillId="2" borderId="1" xfId="0" applyNumberFormat="1" applyFill="1" applyBorder="1"/>
    <xf numFmtId="171" fontId="0" fillId="2" borderId="1" xfId="0" applyNumberFormat="1" applyFill="1" applyBorder="1"/>
    <xf numFmtId="172" fontId="1" fillId="0" borderId="9" xfId="0" applyNumberFormat="1" applyFont="1" applyBorder="1" applyAlignment="1">
      <alignment horizontal="left" indent="1"/>
    </xf>
    <xf numFmtId="172" fontId="0" fillId="0" borderId="0" xfId="0" applyNumberFormat="1" applyAlignment="1">
      <alignment horizontal="left" indent="1"/>
    </xf>
    <xf numFmtId="172" fontId="0" fillId="0" borderId="0" xfId="0" applyNumberFormat="1"/>
    <xf numFmtId="0" fontId="0" fillId="15" borderId="0" xfId="0" applyFill="1"/>
    <xf numFmtId="0" fontId="0" fillId="0" borderId="0" xfId="0" quotePrefix="1" applyBorder="1"/>
    <xf numFmtId="168" fontId="0" fillId="0" borderId="0" xfId="0" applyNumberFormat="1" applyFont="1" applyFill="1" applyBorder="1" applyAlignment="1">
      <alignment horizontal="left" indent="1"/>
    </xf>
    <xf numFmtId="14" fontId="0" fillId="15" borderId="0" xfId="0" applyNumberFormat="1" applyFill="1"/>
    <xf numFmtId="171" fontId="0" fillId="2" borderId="2" xfId="0" applyNumberFormat="1" applyFont="1" applyFill="1" applyBorder="1"/>
    <xf numFmtId="0" fontId="0" fillId="12" borderId="0" xfId="0" applyFill="1"/>
    <xf numFmtId="0" fontId="0" fillId="0" borderId="0" xfId="0" applyFill="1" applyBorder="1"/>
    <xf numFmtId="0" fontId="6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2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1" fillId="0" borderId="11" xfId="0" applyFont="1" applyBorder="1" applyAlignment="1">
      <alignment horizontal="left" vertical="top" wrapText="1"/>
    </xf>
    <xf numFmtId="0" fontId="11" fillId="0" borderId="12" xfId="0" applyFont="1" applyBorder="1" applyAlignment="1">
      <alignment horizontal="left" vertical="top" wrapText="1"/>
    </xf>
    <xf numFmtId="0" fontId="11" fillId="0" borderId="7" xfId="0" applyFont="1" applyBorder="1" applyAlignment="1">
      <alignment horizontal="left" vertical="top" wrapText="1"/>
    </xf>
    <xf numFmtId="0" fontId="11" fillId="0" borderId="8" xfId="0" applyFont="1" applyBorder="1" applyAlignment="1">
      <alignment horizontal="left" vertical="top" wrapText="1"/>
    </xf>
    <xf numFmtId="166" fontId="14" fillId="0" borderId="0" xfId="0" applyNumberFormat="1" applyFont="1" applyFill="1" applyBorder="1" applyAlignment="1">
      <alignment horizontal="center" vertical="top"/>
    </xf>
    <xf numFmtId="0" fontId="11" fillId="0" borderId="11" xfId="0" quotePrefix="1" applyFont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37"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numFmt numFmtId="168" formatCode="[$-409]m/d/yy\ h:mm\ AM/PM;@"/>
      <alignment horizontal="left" vertical="bottom" textRotation="0" wrapText="0" indent="1" justifyLastLine="0" shrinkToFit="0" readingOrder="0"/>
    </dxf>
    <dxf>
      <numFmt numFmtId="172" formatCode="[$-F800]dddd\,\ mmmm\ dd\,\ yyyy"/>
      <alignment horizontal="left" vertical="bottom" textRotation="0" wrapText="0" indent="1" justifyLastLine="0" shrinkToFit="0" readingOrder="0"/>
    </dxf>
    <dxf>
      <numFmt numFmtId="0" formatCode="General"/>
    </dxf>
    <dxf>
      <border outline="0">
        <bottom style="thin">
          <color indexed="64"/>
        </bottom>
      </border>
    </dxf>
    <dxf>
      <numFmt numFmtId="19" formatCode="yyyy/mm/dd"/>
    </dxf>
    <dxf>
      <numFmt numFmtId="19" formatCode="yyyy/mm/dd"/>
    </dxf>
    <dxf>
      <numFmt numFmtId="19" formatCode="yyyy/mm/dd"/>
    </dxf>
    <dxf>
      <numFmt numFmtId="19" formatCode="yyyy/mm/dd"/>
    </dxf>
    <dxf>
      <numFmt numFmtId="165" formatCode="yyyy\-mm\-dd;@"/>
    </dxf>
    <dxf>
      <numFmt numFmtId="164" formatCode="dd/mm/yyyy;@"/>
    </dxf>
    <dxf>
      <numFmt numFmtId="164" formatCode="dd/mm/yyyy;@"/>
    </dxf>
    <dxf>
      <numFmt numFmtId="0" formatCode="General"/>
      <fill>
        <patternFill patternType="solid">
          <fgColor indexed="64"/>
          <bgColor indexed="9"/>
        </patternFill>
      </fill>
    </dxf>
    <dxf>
      <numFmt numFmtId="0" formatCode="General"/>
      <fill>
        <patternFill patternType="solid">
          <fgColor indexed="64"/>
          <bgColor indexed="9"/>
        </patternFill>
      </fill>
    </dxf>
    <dxf>
      <fill>
        <patternFill patternType="solid">
          <fgColor indexed="64"/>
          <bgColor indexed="9"/>
        </patternFill>
      </fill>
    </dxf>
    <dxf>
      <fill>
        <patternFill patternType="solid">
          <fgColor indexed="64"/>
          <bgColor indexed="9"/>
        </patternFill>
      </fill>
    </dxf>
    <dxf>
      <numFmt numFmtId="165" formatCode="yyyy\-mm\-dd;@"/>
      <fill>
        <patternFill patternType="solid">
          <fgColor indexed="64"/>
          <bgColor indexed="9"/>
        </patternFill>
      </fill>
    </dxf>
    <dxf>
      <numFmt numFmtId="165" formatCode="yyyy\-mm\-dd;@"/>
      <fill>
        <patternFill patternType="solid">
          <fgColor indexed="64"/>
          <bgColor indexed="9"/>
        </patternFill>
      </fill>
    </dxf>
    <dxf>
      <fill>
        <patternFill patternType="solid">
          <fgColor indexed="64"/>
          <bgColor indexed="9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9"/>
        </patternFill>
      </fill>
    </dxf>
    <dxf>
      <fill>
        <patternFill patternType="solid">
          <fgColor indexed="64"/>
          <bgColor indexed="9"/>
        </patternFill>
      </fill>
    </dxf>
    <dxf>
      <fill>
        <patternFill patternType="solid">
          <fgColor indexed="64"/>
          <bgColor indexed="9"/>
        </patternFill>
      </fill>
    </dxf>
    <dxf>
      <fill>
        <patternFill patternType="solid">
          <fgColor indexed="64"/>
          <bgColor indexed="9"/>
        </patternFill>
      </fill>
    </dxf>
    <dxf>
      <fill>
        <patternFill patternType="solid">
          <fgColor indexed="64"/>
          <bgColor indexed="9"/>
        </patternFill>
      </fill>
    </dxf>
    <dxf>
      <fill>
        <patternFill patternType="solid">
          <fgColor indexed="64"/>
          <bgColor indexed="9"/>
        </patternFill>
      </fill>
    </dxf>
    <dxf>
      <fill>
        <patternFill patternType="solid">
          <fgColor indexed="64"/>
          <bgColor indexed="9"/>
        </patternFill>
      </fill>
    </dxf>
  </dxfs>
  <tableStyles count="0" defaultTableStyle="TableStyleMedium2" defaultPivotStyle="PivotStyleLight16"/>
  <colors>
    <mruColors>
      <color rgb="FF66CCFF"/>
      <color rgb="FF00CCFF"/>
      <color rgb="FFFF0000"/>
      <color rgb="FF990099"/>
      <color rgb="FF969696"/>
      <color rgb="FF660066"/>
      <color rgb="FFFFCC00"/>
      <color rgb="FF99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Task</a:t>
            </a:r>
            <a:r>
              <a:rPr lang="en-CA" baseline="0"/>
              <a:t> Progress</a:t>
            </a:r>
            <a:endParaRPr lang="en-CA"/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5873-46F0-89EF-233FE67CC1B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5873-46F0-89EF-233FE67CC1B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D-4E18-46C6-9A76-3E8996186E57}"/>
              </c:ext>
            </c:extLst>
          </c:dPt>
          <c:cat>
            <c:strRef>
              <c:f>ToDoList!$M$5:$M$7</c:f>
              <c:strCache>
                <c:ptCount val="3"/>
                <c:pt idx="0">
                  <c:v>In progress</c:v>
                </c:pt>
                <c:pt idx="1">
                  <c:v>Todo</c:v>
                </c:pt>
                <c:pt idx="2">
                  <c:v>Done</c:v>
                </c:pt>
              </c:strCache>
            </c:strRef>
          </c:cat>
          <c:val>
            <c:numRef>
              <c:f>ToDoList!$N$5:$N$7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73-46F0-89EF-233FE67CC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2"/>
      </c:doughnut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bg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Sleep</a:t>
            </a:r>
            <a:r>
              <a:rPr lang="en-CA" baseline="0"/>
              <a:t> </a:t>
            </a: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Trackers!$A$3:$A$27</c:f>
              <c:numCache>
                <c:formatCode>yyyy\-mm\-dd;@</c:formatCode>
                <c:ptCount val="25"/>
                <c:pt idx="0">
                  <c:v>44298</c:v>
                </c:pt>
              </c:numCache>
            </c:numRef>
          </c:cat>
          <c:val>
            <c:numRef>
              <c:f>Trackers!$B$3:$B$27</c:f>
              <c:numCache>
                <c:formatCode>General</c:formatCode>
                <c:ptCount val="25"/>
                <c:pt idx="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3B-4AE3-AAEA-75E27A5D3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463744"/>
        <c:axId val="210477824"/>
      </c:lineChart>
      <c:dateAx>
        <c:axId val="210463744"/>
        <c:scaling>
          <c:orientation val="minMax"/>
        </c:scaling>
        <c:delete val="0"/>
        <c:axPos val="b"/>
        <c:numFmt formatCode="yyyy\-mm\-d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77824"/>
        <c:crosses val="autoZero"/>
        <c:auto val="1"/>
        <c:lblOffset val="100"/>
        <c:baseTimeUnit val="days"/>
      </c:dateAx>
      <c:valAx>
        <c:axId val="21047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6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Trackers!$E$2</c:f>
              <c:strCache>
                <c:ptCount val="1"/>
                <c:pt idx="0">
                  <c:v>Hours of Leisure Time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Trackers!$D$3:$D$27</c:f>
              <c:numCache>
                <c:formatCode>yyyy\-mm\-dd;@</c:formatCode>
                <c:ptCount val="25"/>
                <c:pt idx="0">
                  <c:v>44298</c:v>
                </c:pt>
              </c:numCache>
            </c:numRef>
          </c:cat>
          <c:val>
            <c:numRef>
              <c:f>Trackers!$E$3:$E$27</c:f>
              <c:numCache>
                <c:formatCode>General</c:formatCode>
                <c:ptCount val="25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BF-4FEB-8288-C3BDA93E1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494208"/>
        <c:axId val="210495744"/>
      </c:lineChart>
      <c:dateAx>
        <c:axId val="210494208"/>
        <c:scaling>
          <c:orientation val="minMax"/>
        </c:scaling>
        <c:delete val="0"/>
        <c:axPos val="b"/>
        <c:numFmt formatCode="yyyy\-mm\-d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95744"/>
        <c:crosses val="autoZero"/>
        <c:auto val="1"/>
        <c:lblOffset val="100"/>
        <c:baseTimeUnit val="days"/>
      </c:dateAx>
      <c:valAx>
        <c:axId val="21049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9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Trackers!$H$2</c:f>
              <c:strCache>
                <c:ptCount val="1"/>
                <c:pt idx="0">
                  <c:v>Hours of Exercise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Trackers!$G$3:$G$28</c:f>
              <c:numCache>
                <c:formatCode>yyyy\-mm\-dd;@</c:formatCode>
                <c:ptCount val="26"/>
                <c:pt idx="0">
                  <c:v>44298</c:v>
                </c:pt>
              </c:numCache>
            </c:numRef>
          </c:cat>
          <c:val>
            <c:numRef>
              <c:f>Trackers!$H$3:$H$28</c:f>
              <c:numCache>
                <c:formatCode>General</c:formatCode>
                <c:ptCount val="2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DE-48ED-A1A2-209CDA56C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991360"/>
        <c:axId val="210993152"/>
      </c:lineChart>
      <c:dateAx>
        <c:axId val="210991360"/>
        <c:scaling>
          <c:orientation val="minMax"/>
        </c:scaling>
        <c:delete val="0"/>
        <c:axPos val="b"/>
        <c:numFmt formatCode="yyyy\-mm\-d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93152"/>
        <c:crosses val="autoZero"/>
        <c:auto val="1"/>
        <c:lblOffset val="100"/>
        <c:baseTimeUnit val="days"/>
      </c:dateAx>
      <c:valAx>
        <c:axId val="21099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9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Mood Count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Trackers!$K$36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rgbClr val="00C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7D-4FA8-A1EA-859BD21D9465}"/>
              </c:ext>
            </c:extLst>
          </c:dPt>
          <c:dPt>
            <c:idx val="1"/>
            <c:invertIfNegative val="0"/>
            <c:bubble3D val="0"/>
            <c:spPr>
              <a:solidFill>
                <a:srgbClr val="FF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97D-4FA8-A1EA-859BD21D9465}"/>
              </c:ext>
            </c:extLst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97D-4FA8-A1EA-859BD21D9465}"/>
              </c:ext>
            </c:extLst>
          </c:dPt>
          <c:dPt>
            <c:idx val="3"/>
            <c:invertIfNegative val="0"/>
            <c:bubble3D val="0"/>
            <c:spPr>
              <a:solidFill>
                <a:srgbClr val="99009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97D-4FA8-A1EA-859BD21D9465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97D-4FA8-A1EA-859BD21D9465}"/>
              </c:ext>
            </c:extLst>
          </c:dPt>
          <c:cat>
            <c:strRef>
              <c:f>Trackers!$J$37:$J$42</c:f>
              <c:strCache>
                <c:ptCount val="6"/>
                <c:pt idx="0">
                  <c:v>Happy</c:v>
                </c:pt>
                <c:pt idx="1">
                  <c:v>Content</c:v>
                </c:pt>
                <c:pt idx="2">
                  <c:v>Unsure</c:v>
                </c:pt>
                <c:pt idx="3">
                  <c:v>Stressed</c:v>
                </c:pt>
                <c:pt idx="4">
                  <c:v>Sad</c:v>
                </c:pt>
                <c:pt idx="5">
                  <c:v>Angry</c:v>
                </c:pt>
              </c:strCache>
            </c:strRef>
          </c:cat>
          <c:val>
            <c:numRef>
              <c:f>Trackers!$K$37:$K$42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97D-4FA8-A1EA-859BD21D9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2023519"/>
        <c:axId val="1252205103"/>
      </c:barChart>
      <c:catAx>
        <c:axId val="1252023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205103"/>
        <c:crosses val="autoZero"/>
        <c:auto val="1"/>
        <c:lblAlgn val="ctr"/>
        <c:lblOffset val="100"/>
        <c:noMultiLvlLbl val="0"/>
      </c:catAx>
      <c:valAx>
        <c:axId val="125220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023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'[1]Time Spending Input'!$A$1:$C$1</c:f>
              <c:strCache>
                <c:ptCount val="3"/>
                <c:pt idx="0">
                  <c:v>Name</c:v>
                </c:pt>
                <c:pt idx="1">
                  <c:v>Program</c:v>
                </c:pt>
                <c:pt idx="2">
                  <c:v>Year</c:v>
                </c:pt>
              </c:strCache>
            </c:strRef>
          </c:cat>
          <c:val>
            <c:numRef>
              <c:f>'[1]Time Spending Input'!$A$2:$C$2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DD87-449C-ACFA-6CFA315D6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46371967"/>
        <c:axId val="196756047"/>
      </c:barChart>
      <c:catAx>
        <c:axId val="20463719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56047"/>
        <c:crosses val="autoZero"/>
        <c:auto val="1"/>
        <c:lblAlgn val="ctr"/>
        <c:lblOffset val="100"/>
        <c:noMultiLvlLbl val="0"/>
      </c:catAx>
      <c:valAx>
        <c:axId val="196756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371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Sleep</a:t>
            </a:r>
            <a:r>
              <a:rPr lang="en-CA" baseline="0"/>
              <a:t> </a:t>
            </a: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[1]Trackers!$A$3:$A$27</c:f>
              <c:numCache>
                <c:formatCode>General</c:formatCode>
                <c:ptCount val="25"/>
                <c:pt idx="0">
                  <c:v>45020</c:v>
                </c:pt>
                <c:pt idx="1">
                  <c:v>45723</c:v>
                </c:pt>
              </c:numCache>
            </c:numRef>
          </c:cat>
          <c:val>
            <c:numRef>
              <c:f>[1]Trackers!$B$3:$B$27</c:f>
              <c:numCache>
                <c:formatCode>General</c:formatCode>
                <c:ptCount val="25"/>
                <c:pt idx="0">
                  <c:v>10</c:v>
                </c:pt>
                <c:pt idx="1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5A-43A6-86C9-C5C1DA4A8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463744"/>
        <c:axId val="210477824"/>
      </c:lineChart>
      <c:catAx>
        <c:axId val="210463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77824"/>
        <c:crosses val="autoZero"/>
        <c:auto val="1"/>
        <c:lblAlgn val="ctr"/>
        <c:lblOffset val="100"/>
        <c:noMultiLvlLbl val="1"/>
      </c:catAx>
      <c:valAx>
        <c:axId val="21047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6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406400</xdr:colOff>
          <xdr:row>4</xdr:row>
          <xdr:rowOff>101600</xdr:rowOff>
        </xdr:from>
        <xdr:to>
          <xdr:col>11</xdr:col>
          <xdr:colOff>114300</xdr:colOff>
          <xdr:row>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406400</xdr:colOff>
          <xdr:row>1</xdr:row>
          <xdr:rowOff>0</xdr:rowOff>
        </xdr:from>
        <xdr:to>
          <xdr:col>14</xdr:col>
          <xdr:colOff>114300</xdr:colOff>
          <xdr:row>3</xdr:row>
          <xdr:rowOff>101600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Trackers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406400</xdr:colOff>
          <xdr:row>4</xdr:row>
          <xdr:rowOff>101600</xdr:rowOff>
        </xdr:from>
        <xdr:to>
          <xdr:col>14</xdr:col>
          <xdr:colOff>101600</xdr:colOff>
          <xdr:row>6</xdr:row>
          <xdr:rowOff>190500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Progress/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Recommendations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406400</xdr:colOff>
          <xdr:row>1</xdr:row>
          <xdr:rowOff>0</xdr:rowOff>
        </xdr:from>
        <xdr:to>
          <xdr:col>8</xdr:col>
          <xdr:colOff>101600</xdr:colOff>
          <xdr:row>3</xdr:row>
          <xdr:rowOff>101600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Input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428626</xdr:colOff>
      <xdr:row>5</xdr:row>
      <xdr:rowOff>138112</xdr:rowOff>
    </xdr:from>
    <xdr:to>
      <xdr:col>3</xdr:col>
      <xdr:colOff>438150</xdr:colOff>
      <xdr:row>21</xdr:row>
      <xdr:rowOff>28575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406400</xdr:colOff>
          <xdr:row>1</xdr:row>
          <xdr:rowOff>0</xdr:rowOff>
        </xdr:from>
        <xdr:to>
          <xdr:col>11</xdr:col>
          <xdr:colOff>114300</xdr:colOff>
          <xdr:row>3</xdr:row>
          <xdr:rowOff>101600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 Do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406400</xdr:colOff>
          <xdr:row>4</xdr:row>
          <xdr:rowOff>101600</xdr:rowOff>
        </xdr:from>
        <xdr:to>
          <xdr:col>8</xdr:col>
          <xdr:colOff>114300</xdr:colOff>
          <xdr:row>6</xdr:row>
          <xdr:rowOff>190500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0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2</xdr:row>
          <xdr:rowOff>139700</xdr:rowOff>
        </xdr:from>
        <xdr:to>
          <xdr:col>5</xdr:col>
          <xdr:colOff>266700</xdr:colOff>
          <xdr:row>5</xdr:row>
          <xdr:rowOff>50800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0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Instructions/Settings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76200</xdr:rowOff>
        </xdr:from>
        <xdr:to>
          <xdr:col>16</xdr:col>
          <xdr:colOff>457200</xdr:colOff>
          <xdr:row>9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Input Event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</xdr:row>
          <xdr:rowOff>139700</xdr:rowOff>
        </xdr:from>
        <xdr:to>
          <xdr:col>16</xdr:col>
          <xdr:colOff>469900</xdr:colOff>
          <xdr:row>6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12700</xdr:rowOff>
        </xdr:from>
        <xdr:to>
          <xdr:col>16</xdr:col>
          <xdr:colOff>469900</xdr:colOff>
          <xdr:row>13</xdr:row>
          <xdr:rowOff>177800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Input Class Schedule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228600</xdr:rowOff>
        </xdr:from>
        <xdr:to>
          <xdr:col>15</xdr:col>
          <xdr:colOff>0</xdr:colOff>
          <xdr:row>3</xdr:row>
          <xdr:rowOff>12700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254000</xdr:colOff>
          <xdr:row>3</xdr:row>
          <xdr:rowOff>114300</xdr:rowOff>
        </xdr:from>
        <xdr:to>
          <xdr:col>11</xdr:col>
          <xdr:colOff>406400</xdr:colOff>
          <xdr:row>7</xdr:row>
          <xdr:rowOff>38100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215900</xdr:colOff>
          <xdr:row>7</xdr:row>
          <xdr:rowOff>177800</xdr:rowOff>
        </xdr:from>
        <xdr:to>
          <xdr:col>11</xdr:col>
          <xdr:colOff>381000</xdr:colOff>
          <xdr:row>11</xdr:row>
          <xdr:rowOff>25400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1</xdr:row>
          <xdr:rowOff>0</xdr:rowOff>
        </xdr:from>
        <xdr:to>
          <xdr:col>9</xdr:col>
          <xdr:colOff>292100</xdr:colOff>
          <xdr:row>2</xdr:row>
          <xdr:rowOff>139700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4</xdr:row>
          <xdr:rowOff>101600</xdr:rowOff>
        </xdr:from>
        <xdr:to>
          <xdr:col>11</xdr:col>
          <xdr:colOff>12700</xdr:colOff>
          <xdr:row>8</xdr:row>
          <xdr:rowOff>101600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Track Sleep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10</xdr:row>
          <xdr:rowOff>12700</xdr:rowOff>
        </xdr:from>
        <xdr:to>
          <xdr:col>11</xdr:col>
          <xdr:colOff>12700</xdr:colOff>
          <xdr:row>14</xdr:row>
          <xdr:rowOff>12700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3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Track Leisure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15</xdr:row>
          <xdr:rowOff>114300</xdr:rowOff>
        </xdr:from>
        <xdr:to>
          <xdr:col>11</xdr:col>
          <xdr:colOff>12700</xdr:colOff>
          <xdr:row>19</xdr:row>
          <xdr:rowOff>101600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3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Track Exercise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596900</xdr:colOff>
          <xdr:row>26</xdr:row>
          <xdr:rowOff>88900</xdr:rowOff>
        </xdr:from>
        <xdr:to>
          <xdr:col>10</xdr:col>
          <xdr:colOff>596900</xdr:colOff>
          <xdr:row>30</xdr:row>
          <xdr:rowOff>12700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3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138112</xdr:colOff>
      <xdr:row>1</xdr:row>
      <xdr:rowOff>0</xdr:rowOff>
    </xdr:from>
    <xdr:to>
      <xdr:col>16</xdr:col>
      <xdr:colOff>66675</xdr:colOff>
      <xdr:row>11</xdr:row>
      <xdr:rowOff>85725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142875</xdr:colOff>
      <xdr:row>12</xdr:row>
      <xdr:rowOff>28575</xdr:rowOff>
    </xdr:from>
    <xdr:to>
      <xdr:col>16</xdr:col>
      <xdr:colOff>95250</xdr:colOff>
      <xdr:row>23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152400</xdr:colOff>
      <xdr:row>23</xdr:row>
      <xdr:rowOff>123825</xdr:rowOff>
    </xdr:from>
    <xdr:to>
      <xdr:col>16</xdr:col>
      <xdr:colOff>114300</xdr:colOff>
      <xdr:row>34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165101</xdr:colOff>
      <xdr:row>34</xdr:row>
      <xdr:rowOff>165101</xdr:rowOff>
    </xdr:from>
    <xdr:to>
      <xdr:col>16</xdr:col>
      <xdr:colOff>114300</xdr:colOff>
      <xdr:row>45</xdr:row>
      <xdr:rowOff>50800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21</xdr:row>
          <xdr:rowOff>25400</xdr:rowOff>
        </xdr:from>
        <xdr:to>
          <xdr:col>11</xdr:col>
          <xdr:colOff>12700</xdr:colOff>
          <xdr:row>24</xdr:row>
          <xdr:rowOff>190500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3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Track Mood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596900</xdr:colOff>
          <xdr:row>1</xdr:row>
          <xdr:rowOff>0</xdr:rowOff>
        </xdr:from>
        <xdr:to>
          <xdr:col>9</xdr:col>
          <xdr:colOff>596900</xdr:colOff>
          <xdr:row>3</xdr:row>
          <xdr:rowOff>25400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3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361950</xdr:colOff>
      <xdr:row>4</xdr:row>
      <xdr:rowOff>9525</xdr:rowOff>
    </xdr:from>
    <xdr:to>
      <xdr:col>44</xdr:col>
      <xdr:colOff>361950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57150</xdr:colOff>
      <xdr:row>5</xdr:row>
      <xdr:rowOff>152401</xdr:rowOff>
    </xdr:from>
    <xdr:to>
      <xdr:col>3</xdr:col>
      <xdr:colOff>1676399</xdr:colOff>
      <xdr:row>16</xdr:row>
      <xdr:rowOff>76201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254000</xdr:colOff>
          <xdr:row>0</xdr:row>
          <xdr:rowOff>152400</xdr:rowOff>
        </xdr:from>
        <xdr:to>
          <xdr:col>8</xdr:col>
          <xdr:colOff>711200</xdr:colOff>
          <xdr:row>3</xdr:row>
          <xdr:rowOff>101600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177800</xdr:colOff>
          <xdr:row>0</xdr:row>
          <xdr:rowOff>165100</xdr:rowOff>
        </xdr:from>
        <xdr:to>
          <xdr:col>10</xdr:col>
          <xdr:colOff>177800</xdr:colOff>
          <xdr:row>3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6</xdr:row>
          <xdr:rowOff>76200</xdr:rowOff>
        </xdr:from>
        <xdr:to>
          <xdr:col>6</xdr:col>
          <xdr:colOff>1130300</xdr:colOff>
          <xdr:row>9</xdr:row>
          <xdr:rowOff>12700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</xdr:row>
          <xdr:rowOff>12700</xdr:rowOff>
        </xdr:from>
        <xdr:to>
          <xdr:col>6</xdr:col>
          <xdr:colOff>596900</xdr:colOff>
          <xdr:row>3</xdr:row>
          <xdr:rowOff>38100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914400</xdr:colOff>
          <xdr:row>1</xdr:row>
          <xdr:rowOff>12700</xdr:rowOff>
        </xdr:from>
        <xdr:to>
          <xdr:col>7</xdr:col>
          <xdr:colOff>0</xdr:colOff>
          <xdr:row>3</xdr:row>
          <xdr:rowOff>38100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5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Calendar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711200</xdr:colOff>
          <xdr:row>2</xdr:row>
          <xdr:rowOff>0</xdr:rowOff>
        </xdr:from>
        <xdr:to>
          <xdr:col>5</xdr:col>
          <xdr:colOff>1168400</xdr:colOff>
          <xdr:row>3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6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711200</xdr:colOff>
          <xdr:row>2</xdr:row>
          <xdr:rowOff>0</xdr:rowOff>
        </xdr:from>
        <xdr:to>
          <xdr:col>6</xdr:col>
          <xdr:colOff>1168400</xdr:colOff>
          <xdr:row>3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6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2</xdr:row>
          <xdr:rowOff>0</xdr:rowOff>
        </xdr:from>
        <xdr:to>
          <xdr:col>7</xdr:col>
          <xdr:colOff>558800</xdr:colOff>
          <xdr:row>3</xdr:row>
          <xdr:rowOff>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6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0</xdr:row>
          <xdr:rowOff>177800</xdr:rowOff>
        </xdr:from>
        <xdr:to>
          <xdr:col>1</xdr:col>
          <xdr:colOff>609600</xdr:colOff>
          <xdr:row>3</xdr:row>
          <xdr:rowOff>25400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6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736600</xdr:colOff>
          <xdr:row>0</xdr:row>
          <xdr:rowOff>177800</xdr:rowOff>
        </xdr:from>
        <xdr:to>
          <xdr:col>2</xdr:col>
          <xdr:colOff>101600</xdr:colOff>
          <xdr:row>3</xdr:row>
          <xdr:rowOff>25400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6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/ELLAKENNEDYTeam3_DRAFT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Time Spending Input"/>
      <sheetName val="Trackers"/>
      <sheetName val="Mood Tracker"/>
      <sheetName val="Schedule"/>
      <sheetName val="Calendar"/>
    </sheetNames>
    <sheetDataSet>
      <sheetData sheetId="0"/>
      <sheetData sheetId="1">
        <row r="1">
          <cell r="A1" t="str">
            <v>Name</v>
          </cell>
          <cell r="B1" t="str">
            <v>Program</v>
          </cell>
          <cell r="C1" t="str">
            <v>Year</v>
          </cell>
        </row>
        <row r="2">
          <cell r="A2"/>
          <cell r="B2"/>
          <cell r="C2"/>
        </row>
      </sheetData>
      <sheetData sheetId="2">
        <row r="2">
          <cell r="B2" t="str">
            <v>Hours of Sleep</v>
          </cell>
        </row>
        <row r="3">
          <cell r="A3">
            <v>45020</v>
          </cell>
          <cell r="B3">
            <v>10</v>
          </cell>
        </row>
        <row r="4">
          <cell r="A4">
            <v>45723</v>
          </cell>
          <cell r="B4">
            <v>8</v>
          </cell>
        </row>
        <row r="5">
          <cell r="A5"/>
        </row>
        <row r="6">
          <cell r="A6"/>
        </row>
      </sheetData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77C1E9-048A-479C-955B-19720EAE65EF}" name="TodoTable" displayName="TodoTable" ref="B3:H10" totalsRowCount="1" dataDxfId="36">
  <autoFilter ref="B3:H9" xr:uid="{00000000-0009-0000-0100-000005000000}"/>
  <tableColumns count="7">
    <tableColumn id="1" xr3:uid="{00000000-0010-0000-0000-000001000000}" name="Title" totalsRowFunction="count" dataDxfId="35" totalsRowDxfId="34"/>
    <tableColumn id="2" xr3:uid="{00000000-0010-0000-0000-000002000000}" name="Details" dataDxfId="33" totalsRowDxfId="32"/>
    <tableColumn id="3" xr3:uid="{00000000-0010-0000-0000-000003000000}" name="Task Type" dataDxfId="31" totalsRowDxfId="30"/>
    <tableColumn id="4" xr3:uid="{00000000-0010-0000-0000-000004000000}" name="Priority" dataDxfId="29" totalsRowDxfId="28"/>
    <tableColumn id="5" xr3:uid="{00000000-0010-0000-0000-000005000000}" name="Deadline" dataDxfId="27" totalsRowDxfId="26"/>
    <tableColumn id="9" xr3:uid="{3BC0552D-EF7F-4DA8-B093-43DCC2492042}" name="Status" dataDxfId="25" totalsRowDxfId="24"/>
    <tableColumn id="10" xr3:uid="{A3E92E3A-481A-4093-B9FC-E7AA4C82D1A4}" name="Weight (%)" dataDxfId="23" totalsRowDxfId="2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111C3F-E910-4FC7-A1E0-0703EE0943EB}" name="Table16" displayName="Table16" ref="A2:B27" totalsRowShown="0">
  <autoFilter ref="A2:B27" xr:uid="{00000000-0009-0000-0100-000001000000}"/>
  <sortState xmlns:xlrd2="http://schemas.microsoft.com/office/spreadsheetml/2017/richdata2" ref="A3:B26">
    <sortCondition descending="1" ref="A2:A26"/>
  </sortState>
  <tableColumns count="2">
    <tableColumn id="1" xr3:uid="{00000000-0010-0000-0100-000001000000}" name="Date" dataDxfId="21"/>
    <tableColumn id="2" xr3:uid="{00000000-0010-0000-0100-000002000000}" name="Hours of Sleep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93CBAD-3298-4F27-BD1C-CEA4F25D4FD2}" name="LeisureTable9" displayName="LeisureTable9" ref="D2:E27" totalsRowShown="0">
  <autoFilter ref="D2:E27" xr:uid="{00000000-0009-0000-0100-000002000000}"/>
  <sortState xmlns:xlrd2="http://schemas.microsoft.com/office/spreadsheetml/2017/richdata2" ref="D3:E5">
    <sortCondition ref="D2:D5"/>
  </sortState>
  <tableColumns count="2">
    <tableColumn id="1" xr3:uid="{00000000-0010-0000-0200-000001000000}" name="Date" dataDxfId="20"/>
    <tableColumn id="2" xr3:uid="{00000000-0010-0000-0200-000002000000}" name="Hours of Leisure Time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D23355-A22F-4F7B-A970-A41DCDE80D91}" name="ExerciseTable10" displayName="ExerciseTable10" ref="G2:H28" totalsRowShown="0">
  <autoFilter ref="G2:H28" xr:uid="{00000000-0009-0000-0100-000003000000}"/>
  <tableColumns count="2">
    <tableColumn id="1" xr3:uid="{00000000-0010-0000-0300-000001000000}" name="Date" dataDxfId="19"/>
    <tableColumn id="2" xr3:uid="{00000000-0010-0000-0300-000002000000}" name="Hours of Exercise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E0910C-07E7-40FF-9F17-0AA510617BCC}" name="Table4" displayName="Table4" ref="A20:D33" totalsRowShown="0">
  <autoFilter ref="A20:D33" xr:uid="{B2447C26-A9E6-4EDE-BF46-E8E3ADD56566}"/>
  <sortState xmlns:xlrd2="http://schemas.microsoft.com/office/spreadsheetml/2017/richdata2" ref="A21:D33">
    <sortCondition ref="B20:B34"/>
  </sortState>
  <tableColumns count="4">
    <tableColumn id="1" xr3:uid="{08829051-A381-44FD-97CD-8BF742579421}" name="Task" dataDxfId="18"/>
    <tableColumn id="2" xr3:uid="{9C29F30D-7A16-4AC2-AC95-1390F969D911}" name="Start Date" dataDxfId="17"/>
    <tableColumn id="3" xr3:uid="{F986DCC7-5CE7-42E7-93BC-94F6E0B423F1}" name="Priority" dataDxfId="16"/>
    <tableColumn id="4" xr3:uid="{2CDADE59-FFAA-493B-BED5-10C2A03606C7}" name="Recommended Time(h)" dataDxfId="1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7C46D2-E562-420F-9E46-8E0220ABA220}" name="Table18" displayName="Table18" ref="B2:D75" totalsRowShown="0" headerRowBorderDxfId="14">
  <autoFilter ref="B2:D75" xr:uid="{00000000-0009-0000-0100-000001000000}"/>
  <sortState xmlns:xlrd2="http://schemas.microsoft.com/office/spreadsheetml/2017/richdata2" ref="B3:D3">
    <sortCondition ref="C2:C3"/>
  </sortState>
  <tableColumns count="3">
    <tableColumn id="1" xr3:uid="{00000000-0010-0000-0000-000001000000}" name="Title" dataDxfId="13"/>
    <tableColumn id="2" xr3:uid="{00000000-0010-0000-0000-000002000000}" name="Date &amp; Time" dataDxfId="12"/>
    <tableColumn id="3" xr3:uid="{00000000-0010-0000-0000-000003000000}" name="Title &amp; Time" dataDxfId="1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8.xml"/><Relationship Id="rId12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7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16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D2971-1AFC-4871-A209-970A7302D74F}">
  <sheetPr codeName="Sheet5"/>
  <dimension ref="A1:D26"/>
  <sheetViews>
    <sheetView tabSelected="1" workbookViewId="0">
      <selection activeCell="I21" sqref="I21"/>
    </sheetView>
  </sheetViews>
  <sheetFormatPr baseColWidth="10" defaultColWidth="8.83203125" defaultRowHeight="15" x14ac:dyDescent="0.2"/>
  <cols>
    <col min="2" max="2" width="28.33203125" customWidth="1"/>
  </cols>
  <sheetData>
    <row r="1" spans="1:4" x14ac:dyDescent="0.2">
      <c r="A1" s="89" t="s">
        <v>110</v>
      </c>
      <c r="B1" s="90"/>
      <c r="C1" s="90"/>
      <c r="D1" s="90"/>
    </row>
    <row r="2" spans="1:4" x14ac:dyDescent="0.2">
      <c r="A2" s="90"/>
      <c r="B2" s="90"/>
      <c r="C2" s="90"/>
      <c r="D2" s="90"/>
    </row>
    <row r="6" spans="1:4" x14ac:dyDescent="0.2">
      <c r="A6" s="86"/>
      <c r="B6" s="86"/>
      <c r="C6" s="86"/>
    </row>
    <row r="7" spans="1:4" ht="19" x14ac:dyDescent="0.2">
      <c r="A7" s="86"/>
      <c r="B7" s="87"/>
      <c r="C7" s="86"/>
    </row>
    <row r="8" spans="1:4" x14ac:dyDescent="0.2">
      <c r="A8" s="86"/>
      <c r="B8" s="88"/>
      <c r="C8" s="86"/>
    </row>
    <row r="9" spans="1:4" x14ac:dyDescent="0.2">
      <c r="A9" s="86"/>
      <c r="B9" s="86"/>
      <c r="C9" s="86"/>
    </row>
    <row r="10" spans="1:4" x14ac:dyDescent="0.2">
      <c r="A10" s="86"/>
      <c r="B10" s="86"/>
      <c r="C10" s="86"/>
    </row>
    <row r="11" spans="1:4" x14ac:dyDescent="0.2">
      <c r="A11" s="86"/>
      <c r="B11" s="86"/>
      <c r="C11" s="86"/>
    </row>
    <row r="12" spans="1:4" x14ac:dyDescent="0.2">
      <c r="A12" s="86"/>
      <c r="B12" s="86"/>
      <c r="C12" s="86"/>
    </row>
    <row r="13" spans="1:4" x14ac:dyDescent="0.2">
      <c r="A13" s="86"/>
      <c r="B13" s="86"/>
      <c r="C13" s="86"/>
    </row>
    <row r="14" spans="1:4" x14ac:dyDescent="0.2">
      <c r="A14" s="86"/>
      <c r="B14" s="86"/>
      <c r="C14" s="86"/>
    </row>
    <row r="15" spans="1:4" x14ac:dyDescent="0.2">
      <c r="A15" s="86"/>
      <c r="B15" s="86"/>
      <c r="C15" s="86"/>
    </row>
    <row r="16" spans="1:4" x14ac:dyDescent="0.2">
      <c r="A16" s="86"/>
      <c r="B16" s="86"/>
      <c r="C16" s="86"/>
    </row>
    <row r="17" spans="1:3" x14ac:dyDescent="0.2">
      <c r="A17" s="86"/>
      <c r="B17" s="86"/>
      <c r="C17" s="86"/>
    </row>
    <row r="18" spans="1:3" x14ac:dyDescent="0.2">
      <c r="A18" s="86"/>
      <c r="B18" s="86"/>
      <c r="C18" s="86"/>
    </row>
    <row r="19" spans="1:3" x14ac:dyDescent="0.2">
      <c r="A19" s="86"/>
      <c r="B19" s="86"/>
      <c r="C19" s="86"/>
    </row>
    <row r="20" spans="1:3" x14ac:dyDescent="0.2">
      <c r="A20" s="86"/>
      <c r="B20" s="86"/>
      <c r="C20" s="86"/>
    </row>
    <row r="21" spans="1:3" x14ac:dyDescent="0.2">
      <c r="A21" s="86"/>
      <c r="B21" s="86"/>
      <c r="C21" s="86"/>
    </row>
    <row r="22" spans="1:3" x14ac:dyDescent="0.2">
      <c r="A22" s="86"/>
      <c r="B22" s="86"/>
      <c r="C22" s="86"/>
    </row>
    <row r="23" spans="1:3" x14ac:dyDescent="0.2">
      <c r="A23" s="86"/>
      <c r="B23" s="86"/>
      <c r="C23" s="86"/>
    </row>
    <row r="24" spans="1:3" x14ac:dyDescent="0.2">
      <c r="A24" s="86"/>
      <c r="B24" s="86"/>
      <c r="C24" s="86"/>
    </row>
    <row r="25" spans="1:3" x14ac:dyDescent="0.2">
      <c r="A25" s="86"/>
      <c r="B25" s="86"/>
      <c r="C25" s="86"/>
    </row>
    <row r="26" spans="1:3" x14ac:dyDescent="0.2">
      <c r="A26" s="86"/>
      <c r="B26" s="86"/>
      <c r="C26" s="86"/>
    </row>
  </sheetData>
  <mergeCells count="1">
    <mergeCell ref="A1:D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alendarNav_Click">
                <anchor moveWithCells="1" sizeWithCells="1">
                  <from>
                    <xdr:col>8</xdr:col>
                    <xdr:colOff>406400</xdr:colOff>
                    <xdr:row>4</xdr:row>
                    <xdr:rowOff>101600</xdr:rowOff>
                  </from>
                  <to>
                    <xdr:col>11</xdr:col>
                    <xdr:colOff>114300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TrackersNav_Click">
                <anchor moveWithCells="1" sizeWithCells="1">
                  <from>
                    <xdr:col>11</xdr:col>
                    <xdr:colOff>406400</xdr:colOff>
                    <xdr:row>1</xdr:row>
                    <xdr:rowOff>0</xdr:rowOff>
                  </from>
                  <to>
                    <xdr:col>14</xdr:col>
                    <xdr:colOff>114300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ProgressNav_Click">
                <anchor moveWithCells="1" sizeWithCells="1">
                  <from>
                    <xdr:col>11</xdr:col>
                    <xdr:colOff>406400</xdr:colOff>
                    <xdr:row>4</xdr:row>
                    <xdr:rowOff>101600</xdr:rowOff>
                  </from>
                  <to>
                    <xdr:col>14</xdr:col>
                    <xdr:colOff>101600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InputNav_Click">
                <anchor moveWithCells="1" sizeWithCells="1">
                  <from>
                    <xdr:col>5</xdr:col>
                    <xdr:colOff>406400</xdr:colOff>
                    <xdr:row>1</xdr:row>
                    <xdr:rowOff>0</xdr:rowOff>
                  </from>
                  <to>
                    <xdr:col>8</xdr:col>
                    <xdr:colOff>101600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ToDoNav_Click">
                <anchor moveWithCells="1" sizeWithCells="1">
                  <from>
                    <xdr:col>8</xdr:col>
                    <xdr:colOff>406400</xdr:colOff>
                    <xdr:row>1</xdr:row>
                    <xdr:rowOff>0</xdr:rowOff>
                  </from>
                  <to>
                    <xdr:col>11</xdr:col>
                    <xdr:colOff>114300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print="0" autoFill="0" autoPict="0" macro="[0]!ScheduleNav_Click">
                <anchor moveWithCells="1" sizeWithCells="1">
                  <from>
                    <xdr:col>5</xdr:col>
                    <xdr:colOff>406400</xdr:colOff>
                    <xdr:row>4</xdr:row>
                    <xdr:rowOff>101600</xdr:rowOff>
                  </from>
                  <to>
                    <xdr:col>8</xdr:col>
                    <xdr:colOff>114300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Button 8">
              <controlPr defaultSize="0" print="0" autoFill="0" autoPict="0" macro="[0]!SettingsOpen_Click">
                <anchor moveWithCells="1" sizeWithCells="1">
                  <from>
                    <xdr:col>3</xdr:col>
                    <xdr:colOff>571500</xdr:colOff>
                    <xdr:row>2</xdr:row>
                    <xdr:rowOff>139700</xdr:rowOff>
                  </from>
                  <to>
                    <xdr:col>5</xdr:col>
                    <xdr:colOff>266700</xdr:colOff>
                    <xdr:row>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66"/>
  <sheetViews>
    <sheetView topLeftCell="C1" zoomScale="92" zoomScaleNormal="75" workbookViewId="0">
      <selection activeCell="I16" sqref="I16"/>
    </sheetView>
  </sheetViews>
  <sheetFormatPr baseColWidth="10" defaultColWidth="8.83203125" defaultRowHeight="15" x14ac:dyDescent="0.2"/>
  <cols>
    <col min="1" max="1" width="24.5" customWidth="1"/>
    <col min="2" max="2" width="20.1640625" bestFit="1" customWidth="1"/>
    <col min="3" max="3" width="19.83203125" style="39" customWidth="1"/>
    <col min="4" max="4" width="13.1640625" customWidth="1"/>
    <col min="5" max="5" width="23.6640625" customWidth="1"/>
    <col min="6" max="6" width="26.5" style="38" customWidth="1"/>
    <col min="7" max="7" width="5.33203125" customWidth="1"/>
    <col min="8" max="12" width="18.5" customWidth="1"/>
  </cols>
  <sheetData>
    <row r="1" spans="1:12" ht="19" x14ac:dyDescent="0.25">
      <c r="A1" s="51" t="s">
        <v>8</v>
      </c>
      <c r="B1" s="52" t="s">
        <v>9</v>
      </c>
      <c r="C1" s="53" t="s">
        <v>10</v>
      </c>
      <c r="D1" s="52" t="s">
        <v>0</v>
      </c>
      <c r="E1" s="52" t="s">
        <v>11</v>
      </c>
      <c r="F1" s="54" t="s">
        <v>12</v>
      </c>
      <c r="H1" s="55" t="s">
        <v>13</v>
      </c>
      <c r="I1" s="56" t="s">
        <v>14</v>
      </c>
      <c r="J1" s="56" t="s">
        <v>15</v>
      </c>
      <c r="K1" s="56" t="s">
        <v>16</v>
      </c>
      <c r="L1" s="57" t="s">
        <v>17</v>
      </c>
    </row>
    <row r="2" spans="1:12" x14ac:dyDescent="0.2">
      <c r="A2" s="8" t="s">
        <v>87</v>
      </c>
      <c r="B2" s="8" t="s">
        <v>88</v>
      </c>
      <c r="C2" s="49">
        <v>2026</v>
      </c>
      <c r="D2" s="8" t="s">
        <v>89</v>
      </c>
      <c r="E2" s="84">
        <v>44533.208333333336</v>
      </c>
      <c r="F2" s="37" t="s">
        <v>90</v>
      </c>
      <c r="H2" s="58" t="s">
        <v>96</v>
      </c>
      <c r="I2" s="59">
        <v>44447</v>
      </c>
      <c r="J2" s="59">
        <v>44537</v>
      </c>
      <c r="K2" s="60">
        <v>0.16666666666666666</v>
      </c>
      <c r="L2" s="61" t="s">
        <v>97</v>
      </c>
    </row>
    <row r="3" spans="1:12" x14ac:dyDescent="0.2">
      <c r="A3" s="7" t="s">
        <v>92</v>
      </c>
      <c r="B3" s="7" t="s">
        <v>88</v>
      </c>
      <c r="C3" s="50"/>
      <c r="D3" s="7" t="s">
        <v>93</v>
      </c>
      <c r="E3" s="76">
        <v>44534.25</v>
      </c>
      <c r="F3" s="36" t="s">
        <v>94</v>
      </c>
      <c r="H3" s="61" t="s">
        <v>98</v>
      </c>
      <c r="I3" s="62">
        <v>44447</v>
      </c>
      <c r="J3" s="62">
        <v>44537</v>
      </c>
      <c r="K3" s="63">
        <v>0.16666666666666666</v>
      </c>
      <c r="L3" s="61" t="s">
        <v>99</v>
      </c>
    </row>
    <row r="4" spans="1:12" x14ac:dyDescent="0.2">
      <c r="A4" s="7"/>
      <c r="B4" s="7"/>
      <c r="C4" s="50"/>
      <c r="D4" s="7"/>
      <c r="E4" s="74"/>
      <c r="F4" s="36"/>
      <c r="H4" s="61" t="s">
        <v>100</v>
      </c>
      <c r="I4" s="62">
        <v>44447</v>
      </c>
      <c r="J4" s="62">
        <v>44537</v>
      </c>
      <c r="K4" s="65">
        <v>8.3333333333333329E-2</v>
      </c>
      <c r="L4" s="61" t="s">
        <v>99</v>
      </c>
    </row>
    <row r="5" spans="1:12" x14ac:dyDescent="0.2">
      <c r="A5" s="7"/>
      <c r="B5" s="7"/>
      <c r="C5" s="50"/>
      <c r="D5" s="7"/>
      <c r="E5" s="75"/>
      <c r="F5" s="36"/>
      <c r="H5" s="61" t="s">
        <v>101</v>
      </c>
      <c r="I5" s="62">
        <v>44447</v>
      </c>
      <c r="J5" s="62">
        <v>44537</v>
      </c>
      <c r="K5" s="65">
        <v>0.33333333333333331</v>
      </c>
      <c r="L5" s="61" t="s">
        <v>102</v>
      </c>
    </row>
    <row r="6" spans="1:12" x14ac:dyDescent="0.2">
      <c r="A6" s="7"/>
      <c r="B6" s="7"/>
      <c r="C6" s="50"/>
      <c r="D6" s="7"/>
      <c r="E6" s="76"/>
      <c r="F6" s="36"/>
      <c r="H6" s="61" t="s">
        <v>103</v>
      </c>
      <c r="I6" s="62">
        <v>44447</v>
      </c>
      <c r="J6" s="62">
        <v>44537</v>
      </c>
      <c r="K6" s="65">
        <v>0.25</v>
      </c>
      <c r="L6" s="61" t="s">
        <v>104</v>
      </c>
    </row>
    <row r="7" spans="1:12" x14ac:dyDescent="0.2">
      <c r="A7" s="7"/>
      <c r="B7" s="7"/>
      <c r="C7" s="50"/>
      <c r="D7" s="7"/>
      <c r="E7" s="76"/>
      <c r="F7" s="36"/>
      <c r="H7" s="61"/>
      <c r="I7" s="61"/>
      <c r="J7" s="61"/>
      <c r="K7" s="61"/>
      <c r="L7" s="61"/>
    </row>
    <row r="8" spans="1:12" x14ac:dyDescent="0.2">
      <c r="A8" s="7"/>
      <c r="B8" s="7"/>
      <c r="C8" s="50"/>
      <c r="D8" s="7"/>
      <c r="E8" s="76"/>
      <c r="F8" s="36"/>
      <c r="H8" s="61"/>
      <c r="I8" s="61"/>
      <c r="J8" s="61"/>
      <c r="K8" s="61"/>
      <c r="L8" s="61"/>
    </row>
    <row r="9" spans="1:12" x14ac:dyDescent="0.2">
      <c r="A9" s="7"/>
      <c r="B9" s="7"/>
      <c r="C9" s="50"/>
      <c r="D9" s="7"/>
      <c r="E9" s="47"/>
      <c r="F9" s="36"/>
      <c r="H9" s="61"/>
      <c r="I9" s="61"/>
      <c r="J9" s="61"/>
      <c r="K9" s="61"/>
      <c r="L9" s="61"/>
    </row>
    <row r="10" spans="1:12" x14ac:dyDescent="0.2">
      <c r="A10" s="7"/>
      <c r="B10" s="7"/>
      <c r="C10" s="50"/>
      <c r="D10" s="7"/>
      <c r="E10" s="47"/>
      <c r="F10" s="36"/>
      <c r="H10" s="61"/>
      <c r="I10" s="61"/>
      <c r="J10" s="61"/>
      <c r="K10" s="61"/>
      <c r="L10" s="61"/>
    </row>
    <row r="11" spans="1:12" ht="2.5" customHeight="1" x14ac:dyDescent="0.2">
      <c r="A11" s="7"/>
      <c r="B11" s="7"/>
      <c r="C11" s="50"/>
      <c r="D11" s="7"/>
      <c r="E11" s="47"/>
      <c r="F11" s="36"/>
      <c r="H11" s="61"/>
      <c r="I11" s="61"/>
      <c r="J11" s="61"/>
      <c r="K11" s="61"/>
      <c r="L11" s="61"/>
    </row>
    <row r="12" spans="1:12" x14ac:dyDescent="0.2">
      <c r="A12" s="7"/>
      <c r="B12" s="7"/>
      <c r="C12" s="50"/>
      <c r="D12" s="7"/>
      <c r="E12" s="47"/>
      <c r="F12" s="36"/>
      <c r="H12" s="61"/>
      <c r="I12" s="61"/>
      <c r="J12" s="61"/>
      <c r="K12" s="61"/>
      <c r="L12" s="61"/>
    </row>
    <row r="13" spans="1:12" x14ac:dyDescent="0.2">
      <c r="A13" s="7"/>
      <c r="B13" s="7"/>
      <c r="C13" s="50"/>
      <c r="D13" s="7"/>
      <c r="E13" s="47"/>
      <c r="F13" s="36"/>
      <c r="H13" s="61"/>
      <c r="I13" s="61"/>
      <c r="J13" s="61"/>
      <c r="K13" s="61"/>
      <c r="L13" s="61"/>
    </row>
    <row r="14" spans="1:12" x14ac:dyDescent="0.2">
      <c r="A14" s="7"/>
      <c r="B14" s="7"/>
      <c r="C14" s="50"/>
      <c r="D14" s="7"/>
      <c r="E14" s="47"/>
      <c r="F14" s="36"/>
      <c r="H14" s="61"/>
      <c r="I14" s="61"/>
      <c r="J14" s="61"/>
      <c r="K14" s="61"/>
      <c r="L14" s="61"/>
    </row>
    <row r="15" spans="1:12" x14ac:dyDescent="0.2">
      <c r="A15" s="7"/>
      <c r="B15" s="7"/>
      <c r="C15" s="50"/>
      <c r="D15" s="7"/>
      <c r="E15" s="47"/>
      <c r="F15" s="36"/>
      <c r="H15" s="61"/>
      <c r="I15" s="61"/>
      <c r="J15" s="61"/>
      <c r="K15" s="61"/>
      <c r="L15" s="61"/>
    </row>
    <row r="16" spans="1:12" x14ac:dyDescent="0.2">
      <c r="A16" s="7"/>
      <c r="B16" s="7"/>
      <c r="C16" s="50"/>
      <c r="D16" s="7"/>
      <c r="E16" s="7"/>
      <c r="F16" s="36"/>
      <c r="H16" s="61"/>
      <c r="I16" s="64"/>
      <c r="J16" s="64"/>
      <c r="K16" s="65"/>
      <c r="L16" s="61"/>
    </row>
    <row r="17" spans="1:12" x14ac:dyDescent="0.2">
      <c r="A17" s="7"/>
      <c r="B17" s="7"/>
      <c r="C17" s="50"/>
      <c r="D17" s="7"/>
      <c r="E17" s="7"/>
      <c r="F17" s="36"/>
      <c r="H17" s="61"/>
      <c r="I17" s="61"/>
      <c r="J17" s="61"/>
      <c r="K17" s="61"/>
      <c r="L17" s="61"/>
    </row>
    <row r="18" spans="1:12" x14ac:dyDescent="0.2">
      <c r="A18" s="7"/>
      <c r="B18" s="7"/>
      <c r="C18" s="50"/>
      <c r="D18" s="7"/>
      <c r="E18" s="7"/>
      <c r="F18" s="36"/>
      <c r="H18" s="61"/>
      <c r="I18" s="61"/>
      <c r="J18" s="61"/>
      <c r="K18" s="61"/>
      <c r="L18" s="61"/>
    </row>
    <row r="19" spans="1:12" x14ac:dyDescent="0.2">
      <c r="A19" s="7"/>
      <c r="B19" s="7"/>
      <c r="C19" s="50"/>
      <c r="D19" s="7"/>
      <c r="E19" s="7"/>
      <c r="F19" s="36"/>
      <c r="H19" s="61"/>
      <c r="I19" s="61"/>
      <c r="J19" s="61"/>
      <c r="K19" s="61"/>
      <c r="L19" s="61"/>
    </row>
    <row r="20" spans="1:12" x14ac:dyDescent="0.2">
      <c r="A20" s="7"/>
      <c r="B20" s="7"/>
      <c r="C20" s="50"/>
      <c r="D20" s="7"/>
      <c r="E20" s="7"/>
      <c r="F20" s="36"/>
      <c r="H20" s="61"/>
      <c r="I20" s="61"/>
      <c r="J20" s="61"/>
      <c r="K20" s="61"/>
      <c r="L20" s="61"/>
    </row>
    <row r="21" spans="1:12" x14ac:dyDescent="0.2">
      <c r="A21" s="7"/>
      <c r="B21" s="7"/>
      <c r="C21" s="50"/>
      <c r="D21" s="7"/>
      <c r="E21" s="7"/>
      <c r="F21" s="36"/>
      <c r="H21" s="61"/>
      <c r="I21" s="61"/>
      <c r="J21" s="61"/>
      <c r="K21" s="61"/>
      <c r="L21" s="61"/>
    </row>
    <row r="22" spans="1:12" x14ac:dyDescent="0.2">
      <c r="A22" s="7"/>
      <c r="B22" s="7"/>
      <c r="C22" s="50"/>
      <c r="D22" s="7"/>
      <c r="E22" s="7"/>
      <c r="F22" s="36"/>
      <c r="H22" s="61"/>
      <c r="I22" s="61"/>
      <c r="J22" s="61"/>
      <c r="K22" s="61"/>
      <c r="L22" s="61"/>
    </row>
    <row r="23" spans="1:12" x14ac:dyDescent="0.2">
      <c r="A23" s="7"/>
      <c r="B23" s="7"/>
      <c r="C23" s="50"/>
      <c r="D23" s="7"/>
      <c r="E23" s="7"/>
      <c r="F23" s="36"/>
      <c r="H23" s="61"/>
      <c r="I23" s="61"/>
      <c r="J23" s="61"/>
      <c r="K23" s="61"/>
      <c r="L23" s="61"/>
    </row>
    <row r="24" spans="1:12" x14ac:dyDescent="0.2">
      <c r="A24" s="7"/>
      <c r="B24" s="7"/>
      <c r="C24" s="50"/>
      <c r="D24" s="7"/>
      <c r="E24" s="7"/>
      <c r="F24" s="36"/>
      <c r="H24" s="61"/>
      <c r="I24" s="61"/>
      <c r="J24" s="61"/>
      <c r="K24" s="61"/>
      <c r="L24" s="61"/>
    </row>
    <row r="25" spans="1:12" x14ac:dyDescent="0.2">
      <c r="A25" s="7"/>
      <c r="B25" s="7"/>
      <c r="C25" s="50"/>
      <c r="D25" s="7"/>
      <c r="E25" s="7"/>
      <c r="F25" s="36"/>
      <c r="H25" s="61"/>
      <c r="I25" s="61"/>
      <c r="J25" s="61"/>
      <c r="K25" s="61"/>
      <c r="L25" s="61"/>
    </row>
    <row r="26" spans="1:12" x14ac:dyDescent="0.2">
      <c r="A26" s="7"/>
      <c r="B26" s="7"/>
      <c r="C26" s="50"/>
      <c r="D26" s="7"/>
      <c r="E26" s="7"/>
      <c r="F26" s="36"/>
      <c r="H26" s="61"/>
      <c r="I26" s="61"/>
      <c r="J26" s="61"/>
      <c r="K26" s="61"/>
      <c r="L26" s="61"/>
    </row>
    <row r="27" spans="1:12" x14ac:dyDescent="0.2">
      <c r="A27" s="7"/>
      <c r="B27" s="7"/>
      <c r="C27" s="50"/>
      <c r="D27" s="7"/>
      <c r="E27" s="7"/>
      <c r="F27" s="36"/>
      <c r="H27" s="61"/>
      <c r="I27" s="61"/>
      <c r="J27" s="61"/>
      <c r="K27" s="61"/>
      <c r="L27" s="61"/>
    </row>
    <row r="28" spans="1:12" x14ac:dyDescent="0.2">
      <c r="A28" s="7"/>
      <c r="B28" s="7"/>
      <c r="C28" s="50"/>
      <c r="D28" s="7"/>
      <c r="E28" s="7"/>
      <c r="F28" s="36"/>
      <c r="H28" s="61"/>
      <c r="I28" s="61"/>
      <c r="J28" s="61"/>
      <c r="K28" s="61"/>
      <c r="L28" s="61"/>
    </row>
    <row r="29" spans="1:12" x14ac:dyDescent="0.2">
      <c r="A29" s="7"/>
      <c r="B29" s="7"/>
      <c r="C29" s="50"/>
      <c r="D29" s="7"/>
      <c r="E29" s="7"/>
      <c r="F29" s="36"/>
      <c r="H29" s="61"/>
      <c r="I29" s="61"/>
      <c r="J29" s="61"/>
      <c r="K29" s="61"/>
      <c r="L29" s="61"/>
    </row>
    <row r="30" spans="1:12" x14ac:dyDescent="0.2">
      <c r="A30" s="7"/>
      <c r="B30" s="7"/>
      <c r="C30" s="50"/>
      <c r="D30" s="7"/>
      <c r="E30" s="7"/>
      <c r="F30" s="36"/>
      <c r="H30" s="61"/>
      <c r="I30" s="61"/>
      <c r="J30" s="61"/>
      <c r="K30" s="61"/>
      <c r="L30" s="61"/>
    </row>
    <row r="31" spans="1:12" x14ac:dyDescent="0.2">
      <c r="A31" s="7"/>
      <c r="B31" s="7"/>
      <c r="C31" s="50"/>
      <c r="D31" s="7"/>
      <c r="E31" s="7"/>
      <c r="F31" s="36"/>
      <c r="H31" s="61"/>
      <c r="I31" s="61"/>
      <c r="J31" s="61"/>
      <c r="K31" s="61"/>
      <c r="L31" s="61"/>
    </row>
    <row r="32" spans="1:12" x14ac:dyDescent="0.2">
      <c r="A32" s="7"/>
      <c r="B32" s="7"/>
      <c r="C32" s="50"/>
      <c r="D32" s="7"/>
      <c r="E32" s="7"/>
      <c r="F32" s="36"/>
      <c r="H32" s="61"/>
      <c r="I32" s="61"/>
      <c r="J32" s="61"/>
      <c r="K32" s="61"/>
      <c r="L32" s="61"/>
    </row>
    <row r="33" spans="1:12" x14ac:dyDescent="0.2">
      <c r="A33" s="7"/>
      <c r="B33" s="7"/>
      <c r="C33" s="50"/>
      <c r="D33" s="7"/>
      <c r="E33" s="7"/>
      <c r="F33" s="36"/>
      <c r="H33" s="61"/>
      <c r="I33" s="61"/>
      <c r="J33" s="61"/>
      <c r="K33" s="61"/>
      <c r="L33" s="61"/>
    </row>
    <row r="34" spans="1:12" x14ac:dyDescent="0.2">
      <c r="A34" s="7"/>
      <c r="B34" s="7"/>
      <c r="C34" s="50"/>
      <c r="D34" s="7"/>
      <c r="E34" s="7"/>
      <c r="F34" s="36"/>
      <c r="H34" s="61"/>
      <c r="I34" s="61"/>
      <c r="J34" s="61"/>
      <c r="K34" s="61"/>
      <c r="L34" s="61"/>
    </row>
    <row r="35" spans="1:12" x14ac:dyDescent="0.2">
      <c r="A35" s="7"/>
      <c r="B35" s="7"/>
      <c r="C35" s="50"/>
      <c r="D35" s="7"/>
      <c r="E35" s="7"/>
      <c r="F35" s="36"/>
      <c r="H35" s="61"/>
      <c r="I35" s="61"/>
      <c r="J35" s="61"/>
      <c r="K35" s="61"/>
      <c r="L35" s="61"/>
    </row>
    <row r="36" spans="1:12" x14ac:dyDescent="0.2">
      <c r="A36" s="7"/>
      <c r="B36" s="7"/>
      <c r="C36" s="50"/>
      <c r="D36" s="7"/>
      <c r="E36" s="7"/>
      <c r="F36" s="36"/>
      <c r="H36" s="61"/>
      <c r="I36" s="61"/>
      <c r="J36" s="61"/>
      <c r="K36" s="61"/>
      <c r="L36" s="61"/>
    </row>
    <row r="37" spans="1:12" x14ac:dyDescent="0.2">
      <c r="A37" s="7"/>
      <c r="B37" s="7"/>
      <c r="C37" s="50"/>
      <c r="D37" s="7"/>
      <c r="E37" s="7"/>
      <c r="F37" s="36"/>
      <c r="H37" s="61"/>
      <c r="I37" s="61"/>
      <c r="J37" s="61"/>
      <c r="K37" s="61"/>
      <c r="L37" s="61"/>
    </row>
    <row r="38" spans="1:12" x14ac:dyDescent="0.2">
      <c r="A38" s="7"/>
      <c r="B38" s="7"/>
      <c r="C38" s="50"/>
      <c r="D38" s="7"/>
      <c r="E38" s="7"/>
      <c r="F38" s="36"/>
      <c r="H38" s="61"/>
      <c r="I38" s="61"/>
      <c r="J38" s="61"/>
      <c r="K38" s="61"/>
      <c r="L38" s="61"/>
    </row>
    <row r="39" spans="1:12" x14ac:dyDescent="0.2">
      <c r="A39" s="7"/>
      <c r="B39" s="7"/>
      <c r="C39" s="50"/>
      <c r="D39" s="7"/>
      <c r="E39" s="7"/>
      <c r="F39" s="36"/>
      <c r="H39" s="61"/>
      <c r="I39" s="61"/>
      <c r="J39" s="61"/>
      <c r="K39" s="61"/>
      <c r="L39" s="61"/>
    </row>
    <row r="40" spans="1:12" x14ac:dyDescent="0.2">
      <c r="A40" s="7"/>
      <c r="B40" s="7"/>
      <c r="C40" s="50"/>
      <c r="D40" s="7"/>
      <c r="E40" s="7"/>
      <c r="F40" s="36"/>
      <c r="H40" s="61"/>
      <c r="I40" s="61"/>
      <c r="J40" s="61"/>
      <c r="K40" s="61"/>
      <c r="L40" s="61"/>
    </row>
    <row r="41" spans="1:12" x14ac:dyDescent="0.2">
      <c r="A41" s="7"/>
      <c r="B41" s="7"/>
      <c r="C41" s="50"/>
      <c r="D41" s="7"/>
      <c r="E41" s="7"/>
      <c r="F41" s="36"/>
      <c r="H41" s="61"/>
      <c r="I41" s="61"/>
      <c r="J41" s="61"/>
      <c r="K41" s="61"/>
      <c r="L41" s="61"/>
    </row>
    <row r="42" spans="1:12" x14ac:dyDescent="0.2">
      <c r="A42" s="7"/>
      <c r="B42" s="7"/>
      <c r="C42" s="50"/>
      <c r="D42" s="7"/>
      <c r="E42" s="7"/>
      <c r="F42" s="36"/>
      <c r="H42" s="61"/>
      <c r="I42" s="61"/>
      <c r="J42" s="61"/>
      <c r="K42" s="61"/>
      <c r="L42" s="61"/>
    </row>
    <row r="43" spans="1:12" x14ac:dyDescent="0.2">
      <c r="A43" s="7"/>
      <c r="B43" s="7"/>
      <c r="C43" s="50"/>
      <c r="D43" s="7"/>
      <c r="E43" s="7"/>
      <c r="F43" s="36"/>
      <c r="H43" s="61"/>
      <c r="I43" s="61"/>
      <c r="J43" s="61"/>
      <c r="K43" s="61"/>
      <c r="L43" s="61"/>
    </row>
    <row r="44" spans="1:12" x14ac:dyDescent="0.2">
      <c r="A44" s="7"/>
      <c r="B44" s="7"/>
      <c r="C44" s="50"/>
      <c r="D44" s="7"/>
      <c r="E44" s="7"/>
      <c r="F44" s="36"/>
      <c r="H44" s="61"/>
      <c r="I44" s="61"/>
      <c r="J44" s="61"/>
      <c r="K44" s="61"/>
      <c r="L44" s="61"/>
    </row>
    <row r="45" spans="1:12" x14ac:dyDescent="0.2">
      <c r="A45" s="7"/>
      <c r="B45" s="7"/>
      <c r="C45" s="50"/>
      <c r="D45" s="7"/>
      <c r="E45" s="7"/>
      <c r="F45" s="36"/>
      <c r="H45" s="61"/>
      <c r="I45" s="61"/>
      <c r="J45" s="61"/>
      <c r="K45" s="61"/>
      <c r="L45" s="61"/>
    </row>
    <row r="46" spans="1:12" x14ac:dyDescent="0.2">
      <c r="A46" s="7"/>
      <c r="B46" s="7"/>
      <c r="C46" s="50"/>
      <c r="D46" s="7"/>
      <c r="E46" s="7"/>
      <c r="F46" s="36"/>
      <c r="H46" s="61"/>
      <c r="I46" s="61"/>
      <c r="J46" s="61"/>
      <c r="K46" s="61"/>
      <c r="L46" s="61"/>
    </row>
    <row r="47" spans="1:12" x14ac:dyDescent="0.2">
      <c r="A47" s="7"/>
      <c r="B47" s="7"/>
      <c r="C47" s="50"/>
      <c r="D47" s="7"/>
      <c r="E47" s="7"/>
      <c r="F47" s="36"/>
      <c r="H47" s="61"/>
      <c r="I47" s="61"/>
      <c r="J47" s="61"/>
      <c r="K47" s="61"/>
      <c r="L47" s="61"/>
    </row>
    <row r="48" spans="1:12" x14ac:dyDescent="0.2">
      <c r="A48" s="7"/>
      <c r="B48" s="7"/>
      <c r="C48" s="50"/>
      <c r="D48" s="7"/>
      <c r="E48" s="7"/>
      <c r="F48" s="36"/>
      <c r="H48" s="61"/>
      <c r="I48" s="61"/>
      <c r="J48" s="61"/>
      <c r="K48" s="61"/>
      <c r="L48" s="61"/>
    </row>
    <row r="49" spans="1:12" x14ac:dyDescent="0.2">
      <c r="A49" s="7"/>
      <c r="B49" s="7"/>
      <c r="C49" s="50"/>
      <c r="D49" s="7"/>
      <c r="E49" s="7"/>
      <c r="F49" s="36"/>
      <c r="H49" s="61"/>
      <c r="I49" s="61"/>
      <c r="J49" s="61"/>
      <c r="K49" s="61"/>
      <c r="L49" s="61"/>
    </row>
    <row r="50" spans="1:12" x14ac:dyDescent="0.2">
      <c r="A50" s="7"/>
      <c r="B50" s="7"/>
      <c r="C50" s="50"/>
      <c r="D50" s="7"/>
      <c r="E50" s="7"/>
      <c r="F50" s="36"/>
      <c r="H50" s="61"/>
      <c r="I50" s="61"/>
      <c r="J50" s="61"/>
      <c r="K50" s="61"/>
      <c r="L50" s="61"/>
    </row>
    <row r="51" spans="1:12" x14ac:dyDescent="0.2">
      <c r="A51" s="7"/>
      <c r="B51" s="7"/>
      <c r="C51" s="50"/>
      <c r="D51" s="7"/>
      <c r="E51" s="7"/>
      <c r="F51" s="36"/>
      <c r="H51" s="61"/>
      <c r="I51" s="61"/>
      <c r="J51" s="61"/>
      <c r="K51" s="61"/>
      <c r="L51" s="61"/>
    </row>
    <row r="52" spans="1:12" x14ac:dyDescent="0.2">
      <c r="A52" s="7"/>
      <c r="B52" s="7"/>
      <c r="C52" s="50"/>
      <c r="D52" s="7"/>
      <c r="E52" s="7"/>
      <c r="F52" s="36"/>
      <c r="H52" s="61"/>
      <c r="I52" s="61"/>
      <c r="J52" s="61"/>
      <c r="K52" s="61"/>
      <c r="L52" s="61"/>
    </row>
    <row r="53" spans="1:12" x14ac:dyDescent="0.2">
      <c r="A53" s="7"/>
      <c r="B53" s="7"/>
      <c r="C53" s="50"/>
      <c r="D53" s="7"/>
      <c r="E53" s="7"/>
      <c r="F53" s="36"/>
      <c r="H53" s="61"/>
      <c r="I53" s="61"/>
      <c r="J53" s="61"/>
      <c r="K53" s="61"/>
      <c r="L53" s="61"/>
    </row>
    <row r="54" spans="1:12" x14ac:dyDescent="0.2">
      <c r="A54" s="7"/>
      <c r="B54" s="7"/>
      <c r="C54" s="50"/>
      <c r="D54" s="7"/>
      <c r="E54" s="7"/>
      <c r="F54" s="36"/>
      <c r="H54" s="61"/>
      <c r="I54" s="61"/>
      <c r="J54" s="61"/>
      <c r="K54" s="61"/>
      <c r="L54" s="61"/>
    </row>
    <row r="55" spans="1:12" x14ac:dyDescent="0.2">
      <c r="A55" s="7"/>
      <c r="B55" s="7"/>
      <c r="C55" s="50"/>
      <c r="D55" s="7"/>
      <c r="E55" s="7"/>
      <c r="F55" s="36"/>
      <c r="H55" s="61"/>
      <c r="I55" s="61"/>
      <c r="J55" s="61"/>
      <c r="K55" s="61"/>
      <c r="L55" s="61"/>
    </row>
    <row r="56" spans="1:12" x14ac:dyDescent="0.2">
      <c r="A56" s="7"/>
      <c r="B56" s="7"/>
      <c r="C56" s="50"/>
      <c r="D56" s="7"/>
      <c r="E56" s="7"/>
      <c r="F56" s="36"/>
      <c r="H56" s="61"/>
      <c r="I56" s="61"/>
      <c r="J56" s="61"/>
      <c r="K56" s="61"/>
      <c r="L56" s="61"/>
    </row>
    <row r="57" spans="1:12" x14ac:dyDescent="0.2">
      <c r="A57" s="7"/>
      <c r="B57" s="7"/>
      <c r="C57" s="50"/>
      <c r="D57" s="7"/>
      <c r="E57" s="7"/>
      <c r="F57" s="36"/>
      <c r="H57" s="61"/>
      <c r="I57" s="61"/>
      <c r="J57" s="61"/>
      <c r="K57" s="61"/>
      <c r="L57" s="61"/>
    </row>
    <row r="58" spans="1:12" x14ac:dyDescent="0.2">
      <c r="A58" s="7"/>
      <c r="B58" s="7"/>
      <c r="C58" s="50"/>
      <c r="D58" s="7"/>
      <c r="E58" s="7"/>
      <c r="F58" s="36"/>
      <c r="H58" s="61"/>
      <c r="I58" s="61"/>
      <c r="J58" s="61"/>
      <c r="K58" s="61"/>
      <c r="L58" s="61"/>
    </row>
    <row r="59" spans="1:12" x14ac:dyDescent="0.2">
      <c r="A59" s="7"/>
      <c r="B59" s="7"/>
      <c r="C59" s="50"/>
      <c r="D59" s="7"/>
      <c r="E59" s="7"/>
      <c r="F59" s="36"/>
      <c r="H59" s="61"/>
      <c r="I59" s="61"/>
      <c r="J59" s="61"/>
      <c r="K59" s="61"/>
      <c r="L59" s="61"/>
    </row>
    <row r="60" spans="1:12" x14ac:dyDescent="0.2">
      <c r="A60" s="7"/>
      <c r="B60" s="7"/>
      <c r="C60" s="50"/>
      <c r="D60" s="7"/>
      <c r="E60" s="7"/>
      <c r="F60" s="36"/>
      <c r="H60" s="61"/>
      <c r="I60" s="61"/>
      <c r="J60" s="61"/>
      <c r="K60" s="61"/>
      <c r="L60" s="61"/>
    </row>
    <row r="61" spans="1:12" x14ac:dyDescent="0.2">
      <c r="A61" s="7"/>
      <c r="B61" s="7"/>
      <c r="C61" s="50"/>
      <c r="D61" s="7"/>
      <c r="E61" s="7"/>
      <c r="F61" s="36"/>
      <c r="H61" s="61"/>
      <c r="I61" s="61"/>
      <c r="J61" s="61"/>
      <c r="K61" s="61"/>
      <c r="L61" s="61"/>
    </row>
    <row r="62" spans="1:12" x14ac:dyDescent="0.2">
      <c r="A62" s="7"/>
      <c r="B62" s="7"/>
      <c r="C62" s="50"/>
      <c r="D62" s="7"/>
      <c r="E62" s="7"/>
      <c r="F62" s="36"/>
      <c r="H62" s="61"/>
      <c r="I62" s="61"/>
      <c r="J62" s="61"/>
      <c r="K62" s="61"/>
      <c r="L62" s="61"/>
    </row>
    <row r="63" spans="1:12" x14ac:dyDescent="0.2">
      <c r="A63" s="7"/>
      <c r="B63" s="7"/>
      <c r="C63" s="50"/>
      <c r="D63" s="7"/>
      <c r="E63" s="7"/>
      <c r="F63" s="36"/>
      <c r="H63" s="61"/>
      <c r="I63" s="61"/>
      <c r="J63" s="61"/>
      <c r="K63" s="61"/>
      <c r="L63" s="61"/>
    </row>
    <row r="64" spans="1:12" x14ac:dyDescent="0.2">
      <c r="A64" s="7"/>
      <c r="B64" s="7"/>
      <c r="C64" s="50"/>
      <c r="D64" s="7"/>
      <c r="E64" s="7"/>
      <c r="F64" s="36"/>
      <c r="H64" s="61"/>
      <c r="I64" s="61"/>
      <c r="J64" s="61"/>
      <c r="K64" s="61"/>
      <c r="L64" s="61"/>
    </row>
    <row r="65" spans="1:12" x14ac:dyDescent="0.2">
      <c r="A65" s="7"/>
      <c r="B65" s="7"/>
      <c r="C65" s="50"/>
      <c r="D65" s="7"/>
      <c r="E65" s="7"/>
      <c r="F65" s="36"/>
      <c r="H65" s="61"/>
      <c r="I65" s="61"/>
      <c r="J65" s="61"/>
      <c r="K65" s="61"/>
      <c r="L65" s="61"/>
    </row>
    <row r="66" spans="1:12" x14ac:dyDescent="0.2">
      <c r="A66" s="7"/>
      <c r="B66" s="7"/>
      <c r="C66" s="50"/>
      <c r="D66" s="7"/>
      <c r="E66" s="7"/>
      <c r="F66" s="36"/>
      <c r="H66" s="61"/>
      <c r="I66" s="61"/>
      <c r="J66" s="61"/>
      <c r="K66" s="61"/>
      <c r="L66" s="61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1_Click">
                <anchor moveWithCells="1" sizeWithCells="1">
                  <from>
                    <xdr:col>14</xdr:col>
                    <xdr:colOff>0</xdr:colOff>
                    <xdr:row>7</xdr:row>
                    <xdr:rowOff>76200</xdr:rowOff>
                  </from>
                  <to>
                    <xdr:col>16</xdr:col>
                    <xdr:colOff>457200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rTimeSpendingInputTable">
                <anchor moveWithCells="1" sizeWithCells="1">
                  <from>
                    <xdr:col>14</xdr:col>
                    <xdr:colOff>12700</xdr:colOff>
                    <xdr:row>3</xdr:row>
                    <xdr:rowOff>139700</xdr:rowOff>
                  </from>
                  <to>
                    <xdr:col>16</xdr:col>
                    <xdr:colOff>469900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Button4_Click">
                <anchor moveWithCells="1" sizeWithCells="1">
                  <from>
                    <xdr:col>14</xdr:col>
                    <xdr:colOff>0</xdr:colOff>
                    <xdr:row>10</xdr:row>
                    <xdr:rowOff>12700</xdr:rowOff>
                  </from>
                  <to>
                    <xdr:col>16</xdr:col>
                    <xdr:colOff>469900</xdr:colOff>
                    <xdr:row>13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HomeNav_Click">
                <anchor moveWithCells="1" sizeWithCells="1">
                  <from>
                    <xdr:col>14</xdr:col>
                    <xdr:colOff>0</xdr:colOff>
                    <xdr:row>0</xdr:row>
                    <xdr:rowOff>228600</xdr:rowOff>
                  </from>
                  <to>
                    <xdr:col>15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5AD90-71BE-423B-9AF0-1911D2344885}">
  <sheetPr codeName="Sheet8"/>
  <dimension ref="B2:N22"/>
  <sheetViews>
    <sheetView zoomScale="102" zoomScaleNormal="80" workbookViewId="0">
      <selection activeCell="J28" sqref="J28"/>
    </sheetView>
  </sheetViews>
  <sheetFormatPr baseColWidth="10" defaultColWidth="8.83203125" defaultRowHeight="15" x14ac:dyDescent="0.2"/>
  <cols>
    <col min="2" max="2" width="24.83203125" customWidth="1"/>
    <col min="3" max="3" width="15.6640625" customWidth="1"/>
    <col min="4" max="4" width="14.33203125" customWidth="1"/>
    <col min="5" max="5" width="15.83203125" customWidth="1"/>
    <col min="6" max="6" width="22.6640625" customWidth="1"/>
    <col min="7" max="7" width="17.6640625" customWidth="1"/>
    <col min="8" max="8" width="15.83203125" style="39" customWidth="1"/>
    <col min="14" max="14" width="10.83203125" customWidth="1"/>
  </cols>
  <sheetData>
    <row r="2" spans="2:14" ht="21" x14ac:dyDescent="0.25">
      <c r="B2" s="91" t="s">
        <v>18</v>
      </c>
      <c r="C2" s="92"/>
      <c r="D2" s="92"/>
      <c r="E2" s="92"/>
      <c r="F2" s="92"/>
      <c r="G2" s="92"/>
      <c r="H2" s="93"/>
      <c r="I2" s="73"/>
      <c r="J2" s="73"/>
      <c r="K2" s="73"/>
    </row>
    <row r="3" spans="2:14" x14ac:dyDescent="0.2">
      <c r="B3" t="s">
        <v>19</v>
      </c>
      <c r="C3" t="s">
        <v>20</v>
      </c>
      <c r="D3" t="s">
        <v>54</v>
      </c>
      <c r="E3" t="s">
        <v>22</v>
      </c>
      <c r="F3" t="s">
        <v>23</v>
      </c>
      <c r="G3" t="s">
        <v>21</v>
      </c>
      <c r="H3" s="39" t="s">
        <v>53</v>
      </c>
    </row>
    <row r="4" spans="2:14" x14ac:dyDescent="0.2">
      <c r="B4" s="9" t="s">
        <v>66</v>
      </c>
      <c r="C4" s="9" t="s">
        <v>67</v>
      </c>
      <c r="D4" s="9" t="s">
        <v>55</v>
      </c>
      <c r="E4" s="80" t="s">
        <v>65</v>
      </c>
      <c r="F4" s="10">
        <v>44533</v>
      </c>
      <c r="G4" s="9" t="s">
        <v>52</v>
      </c>
      <c r="H4" s="72">
        <v>5</v>
      </c>
    </row>
    <row r="5" spans="2:14" x14ac:dyDescent="0.2">
      <c r="B5" s="9" t="s">
        <v>68</v>
      </c>
      <c r="C5" s="9" t="s">
        <v>67</v>
      </c>
      <c r="D5" s="9" t="s">
        <v>55</v>
      </c>
      <c r="E5" s="80" t="s">
        <v>65</v>
      </c>
      <c r="F5" s="10">
        <v>44531</v>
      </c>
      <c r="G5" s="9" t="s">
        <v>52</v>
      </c>
      <c r="H5" s="72">
        <v>6</v>
      </c>
      <c r="M5" t="s">
        <v>52</v>
      </c>
      <c r="N5">
        <f>COUNTIF(G:G, "In progress")</f>
        <v>3</v>
      </c>
    </row>
    <row r="6" spans="2:14" x14ac:dyDescent="0.2">
      <c r="B6" s="9" t="s">
        <v>69</v>
      </c>
      <c r="C6" s="9" t="s">
        <v>70</v>
      </c>
      <c r="D6" s="9" t="s">
        <v>71</v>
      </c>
      <c r="E6" s="85" t="s">
        <v>72</v>
      </c>
      <c r="F6" s="10">
        <v>44535</v>
      </c>
      <c r="G6" s="9" t="s">
        <v>73</v>
      </c>
      <c r="H6" s="72">
        <v>8</v>
      </c>
      <c r="M6" t="s">
        <v>73</v>
      </c>
      <c r="N6">
        <f>COUNTIF(G:G, "Todo")</f>
        <v>2</v>
      </c>
    </row>
    <row r="7" spans="2:14" x14ac:dyDescent="0.2">
      <c r="B7" s="9" t="s">
        <v>74</v>
      </c>
      <c r="C7" s="9" t="s">
        <v>75</v>
      </c>
      <c r="D7" s="9" t="s">
        <v>77</v>
      </c>
      <c r="E7" s="80" t="s">
        <v>65</v>
      </c>
      <c r="F7" s="10">
        <v>44534</v>
      </c>
      <c r="G7" s="9" t="s">
        <v>52</v>
      </c>
      <c r="H7" s="72">
        <v>25</v>
      </c>
      <c r="M7" t="s">
        <v>80</v>
      </c>
      <c r="N7">
        <f>COUNTIF(G:G, "Done")</f>
        <v>1</v>
      </c>
    </row>
    <row r="8" spans="2:14" x14ac:dyDescent="0.2">
      <c r="B8" s="9" t="s">
        <v>76</v>
      </c>
      <c r="C8" s="9"/>
      <c r="D8" s="9" t="s">
        <v>77</v>
      </c>
      <c r="E8" s="80" t="s">
        <v>65</v>
      </c>
      <c r="F8" s="10">
        <v>44542</v>
      </c>
      <c r="G8" s="9" t="s">
        <v>73</v>
      </c>
      <c r="H8" s="72">
        <v>25</v>
      </c>
    </row>
    <row r="9" spans="2:14" x14ac:dyDescent="0.2">
      <c r="B9" s="9" t="s">
        <v>78</v>
      </c>
      <c r="C9" s="9"/>
      <c r="D9" s="9" t="s">
        <v>55</v>
      </c>
      <c r="E9" s="85" t="s">
        <v>72</v>
      </c>
      <c r="F9" s="10">
        <v>44537</v>
      </c>
      <c r="G9" s="9" t="s">
        <v>80</v>
      </c>
      <c r="H9" s="72">
        <v>5</v>
      </c>
    </row>
    <row r="10" spans="2:14" x14ac:dyDescent="0.2">
      <c r="B10" s="9">
        <f>SUBTOTAL(103,TodoTable[Title])</f>
        <v>6</v>
      </c>
      <c r="C10" s="9"/>
      <c r="D10" s="9"/>
      <c r="E10" s="9"/>
      <c r="F10" s="10"/>
      <c r="G10" s="9"/>
      <c r="H10" s="72"/>
    </row>
    <row r="14" spans="2:14" x14ac:dyDescent="0.2">
      <c r="I14" t="s">
        <v>56</v>
      </c>
    </row>
    <row r="16" spans="2:14" ht="14.25" customHeight="1" x14ac:dyDescent="0.2">
      <c r="I16" t="s">
        <v>57</v>
      </c>
    </row>
    <row r="17" spans="9:9" x14ac:dyDescent="0.2">
      <c r="I17" t="s">
        <v>58</v>
      </c>
    </row>
    <row r="18" spans="9:9" x14ac:dyDescent="0.2">
      <c r="I18" t="s">
        <v>59</v>
      </c>
    </row>
    <row r="19" spans="9:9" x14ac:dyDescent="0.2">
      <c r="I19" t="s">
        <v>60</v>
      </c>
    </row>
    <row r="20" spans="9:9" x14ac:dyDescent="0.2">
      <c r="I20" t="s">
        <v>61</v>
      </c>
    </row>
    <row r="21" spans="9:9" x14ac:dyDescent="0.2">
      <c r="I21" t="s">
        <v>64</v>
      </c>
    </row>
    <row r="22" spans="9:9" x14ac:dyDescent="0.2">
      <c r="I22" t="s">
        <v>62</v>
      </c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AddTask_ButtonClick">
                <anchor moveWithCells="1">
                  <from>
                    <xdr:col>8</xdr:col>
                    <xdr:colOff>254000</xdr:colOff>
                    <xdr:row>3</xdr:row>
                    <xdr:rowOff>114300</xdr:rowOff>
                  </from>
                  <to>
                    <xdr:col>11</xdr:col>
                    <xdr:colOff>406400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ClearTasks_Button">
                <anchor moveWithCells="1" sizeWithCells="1">
                  <from>
                    <xdr:col>8</xdr:col>
                    <xdr:colOff>215900</xdr:colOff>
                    <xdr:row>7</xdr:row>
                    <xdr:rowOff>177800</xdr:rowOff>
                  </from>
                  <to>
                    <xdr:col>11</xdr:col>
                    <xdr:colOff>381000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HomeNav_Click">
                <anchor moveWithCells="1" sizeWithCells="1">
                  <from>
                    <xdr:col>8</xdr:col>
                    <xdr:colOff>292100</xdr:colOff>
                    <xdr:row>1</xdr:row>
                    <xdr:rowOff>0</xdr:rowOff>
                  </from>
                  <to>
                    <xdr:col>9</xdr:col>
                    <xdr:colOff>292100</xdr:colOff>
                    <xdr:row>2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5A2-94F8-4533-8D0B-7DCC717E6CA0}">
  <sheetPr codeName="Sheet3"/>
  <dimension ref="A1:K42"/>
  <sheetViews>
    <sheetView zoomScale="86" zoomScaleNormal="75" workbookViewId="0">
      <selection activeCell="G32" sqref="G32"/>
    </sheetView>
  </sheetViews>
  <sheetFormatPr baseColWidth="10" defaultColWidth="8.83203125" defaultRowHeight="15" x14ac:dyDescent="0.2"/>
  <cols>
    <col min="1" max="1" width="16.5" style="5" customWidth="1"/>
    <col min="2" max="2" width="14" customWidth="1"/>
    <col min="3" max="3" width="8.83203125" hidden="1" customWidth="1"/>
    <col min="4" max="4" width="16.33203125" style="5" customWidth="1"/>
    <col min="5" max="5" width="19.5" customWidth="1"/>
    <col min="6" max="6" width="0" hidden="1" customWidth="1"/>
    <col min="7" max="7" width="17" customWidth="1"/>
    <col min="8" max="8" width="18.6640625" customWidth="1"/>
  </cols>
  <sheetData>
    <row r="1" spans="1:8" s="3" customFormat="1" ht="18.75" customHeight="1" x14ac:dyDescent="0.25">
      <c r="A1" s="2" t="s">
        <v>1</v>
      </c>
      <c r="C1" s="4"/>
      <c r="D1" s="2" t="s">
        <v>2</v>
      </c>
      <c r="G1" s="2" t="s">
        <v>3</v>
      </c>
    </row>
    <row r="2" spans="1:8" x14ac:dyDescent="0.2">
      <c r="A2" s="5" t="s">
        <v>4</v>
      </c>
      <c r="B2" t="s">
        <v>5</v>
      </c>
      <c r="D2" s="5" t="s">
        <v>4</v>
      </c>
      <c r="E2" t="s">
        <v>6</v>
      </c>
      <c r="G2" t="s">
        <v>4</v>
      </c>
      <c r="H2" t="s">
        <v>7</v>
      </c>
    </row>
    <row r="3" spans="1:8" x14ac:dyDescent="0.2">
      <c r="A3" s="6">
        <v>44298</v>
      </c>
      <c r="B3">
        <v>7</v>
      </c>
      <c r="D3" s="6">
        <v>44298</v>
      </c>
      <c r="E3">
        <v>1</v>
      </c>
      <c r="G3" s="6">
        <v>44298</v>
      </c>
      <c r="H3">
        <v>0</v>
      </c>
    </row>
    <row r="4" spans="1:8" x14ac:dyDescent="0.2">
      <c r="A4" s="6"/>
      <c r="D4" s="6"/>
      <c r="G4" s="6"/>
    </row>
    <row r="5" spans="1:8" x14ac:dyDescent="0.2">
      <c r="A5" s="6"/>
      <c r="D5" s="6"/>
      <c r="G5" s="6"/>
    </row>
    <row r="6" spans="1:8" x14ac:dyDescent="0.2">
      <c r="A6" s="6"/>
      <c r="D6" s="6"/>
      <c r="G6" s="6"/>
    </row>
    <row r="7" spans="1:8" x14ac:dyDescent="0.2">
      <c r="G7" s="6"/>
    </row>
    <row r="8" spans="1:8" x14ac:dyDescent="0.2">
      <c r="G8" s="6"/>
    </row>
    <row r="9" spans="1:8" x14ac:dyDescent="0.2">
      <c r="G9" s="6"/>
    </row>
    <row r="10" spans="1:8" x14ac:dyDescent="0.2">
      <c r="G10" s="6"/>
    </row>
    <row r="11" spans="1:8" x14ac:dyDescent="0.2">
      <c r="G11" s="6"/>
    </row>
    <row r="12" spans="1:8" x14ac:dyDescent="0.2">
      <c r="G12" s="6"/>
    </row>
    <row r="13" spans="1:8" x14ac:dyDescent="0.2">
      <c r="G13" s="6"/>
    </row>
    <row r="14" spans="1:8" x14ac:dyDescent="0.2">
      <c r="G14" s="6"/>
    </row>
    <row r="15" spans="1:8" x14ac:dyDescent="0.2">
      <c r="G15" s="6"/>
    </row>
    <row r="16" spans="1:8" x14ac:dyDescent="0.2">
      <c r="G16" s="6"/>
    </row>
    <row r="17" spans="7:7" x14ac:dyDescent="0.2">
      <c r="G17" s="6"/>
    </row>
    <row r="18" spans="7:7" x14ac:dyDescent="0.2">
      <c r="G18" s="6"/>
    </row>
    <row r="19" spans="7:7" x14ac:dyDescent="0.2">
      <c r="G19" s="6"/>
    </row>
    <row r="20" spans="7:7" x14ac:dyDescent="0.2">
      <c r="G20" s="6"/>
    </row>
    <row r="21" spans="7:7" x14ac:dyDescent="0.2">
      <c r="G21" s="6"/>
    </row>
    <row r="22" spans="7:7" x14ac:dyDescent="0.2">
      <c r="G22" s="6"/>
    </row>
    <row r="23" spans="7:7" x14ac:dyDescent="0.2">
      <c r="G23" s="6"/>
    </row>
    <row r="24" spans="7:7" x14ac:dyDescent="0.2">
      <c r="G24" s="6"/>
    </row>
    <row r="25" spans="7:7" x14ac:dyDescent="0.2">
      <c r="G25" s="6"/>
    </row>
    <row r="26" spans="7:7" x14ac:dyDescent="0.2">
      <c r="G26" s="6"/>
    </row>
    <row r="27" spans="7:7" x14ac:dyDescent="0.2">
      <c r="G27" s="6"/>
    </row>
    <row r="28" spans="7:7" x14ac:dyDescent="0.2">
      <c r="G28" s="6"/>
    </row>
    <row r="36" spans="10:11" x14ac:dyDescent="0.2">
      <c r="J36" s="12" t="s">
        <v>31</v>
      </c>
      <c r="K36" s="13" t="s">
        <v>30</v>
      </c>
    </row>
    <row r="37" spans="10:11" x14ac:dyDescent="0.2">
      <c r="J37" s="14" t="s">
        <v>24</v>
      </c>
      <c r="K37" s="11">
        <v>1</v>
      </c>
    </row>
    <row r="38" spans="10:11" x14ac:dyDescent="0.2">
      <c r="J38" s="15" t="s">
        <v>25</v>
      </c>
      <c r="K38" s="11">
        <v>0</v>
      </c>
    </row>
    <row r="39" spans="10:11" x14ac:dyDescent="0.2">
      <c r="J39" s="16" t="s">
        <v>27</v>
      </c>
      <c r="K39" s="11">
        <v>0</v>
      </c>
    </row>
    <row r="40" spans="10:11" x14ac:dyDescent="0.2">
      <c r="J40" s="17" t="s">
        <v>26</v>
      </c>
      <c r="K40" s="11">
        <v>0</v>
      </c>
    </row>
    <row r="41" spans="10:11" x14ac:dyDescent="0.2">
      <c r="J41" s="18" t="s">
        <v>28</v>
      </c>
      <c r="K41" s="11">
        <v>0</v>
      </c>
    </row>
    <row r="42" spans="10:11" x14ac:dyDescent="0.2">
      <c r="J42" s="19" t="s">
        <v>29</v>
      </c>
      <c r="K42" s="11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Trackers_Button1_Click">
                <anchor moveWithCells="1" sizeWithCells="1">
                  <from>
                    <xdr:col>9</xdr:col>
                    <xdr:colOff>12700</xdr:colOff>
                    <xdr:row>4</xdr:row>
                    <xdr:rowOff>101600</xdr:rowOff>
                  </from>
                  <to>
                    <xdr:col>11</xdr:col>
                    <xdr:colOff>12700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Trackers_Button2_Click">
                <anchor moveWithCells="1" sizeWithCells="1">
                  <from>
                    <xdr:col>9</xdr:col>
                    <xdr:colOff>12700</xdr:colOff>
                    <xdr:row>10</xdr:row>
                    <xdr:rowOff>12700</xdr:rowOff>
                  </from>
                  <to>
                    <xdr:col>11</xdr:col>
                    <xdr:colOff>12700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Trackers_Button3_Click">
                <anchor moveWithCells="1" sizeWithCells="1">
                  <from>
                    <xdr:col>9</xdr:col>
                    <xdr:colOff>12700</xdr:colOff>
                    <xdr:row>15</xdr:row>
                    <xdr:rowOff>114300</xdr:rowOff>
                  </from>
                  <to>
                    <xdr:col>11</xdr:col>
                    <xdr:colOff>12700</xdr:colOff>
                    <xdr:row>19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ClearMacro">
                <anchor moveWithCells="1" sizeWithCells="1">
                  <from>
                    <xdr:col>8</xdr:col>
                    <xdr:colOff>596900</xdr:colOff>
                    <xdr:row>26</xdr:row>
                    <xdr:rowOff>88900</xdr:rowOff>
                  </from>
                  <to>
                    <xdr:col>10</xdr:col>
                    <xdr:colOff>596900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OpenMoodTracker">
                <anchor moveWithCells="1" sizeWithCells="1">
                  <from>
                    <xdr:col>9</xdr:col>
                    <xdr:colOff>12700</xdr:colOff>
                    <xdr:row>21</xdr:row>
                    <xdr:rowOff>25400</xdr:rowOff>
                  </from>
                  <to>
                    <xdr:col>11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HomeNav_Click">
                <anchor moveWithCells="1" sizeWithCells="1">
                  <from>
                    <xdr:col>8</xdr:col>
                    <xdr:colOff>596900</xdr:colOff>
                    <xdr:row>1</xdr:row>
                    <xdr:rowOff>0</xdr:rowOff>
                  </from>
                  <to>
                    <xdr:col>9</xdr:col>
                    <xdr:colOff>596900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3">
    <tablePart r:id="rId10"/>
    <tablePart r:id="rId11"/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9B353-FB3C-4069-A4BA-B48BFE004AC3}">
  <sheetPr codeName="Sheet6"/>
  <dimension ref="A1:M44"/>
  <sheetViews>
    <sheetView zoomScaleNormal="100" workbookViewId="0">
      <selection activeCell="D26" sqref="D26"/>
    </sheetView>
  </sheetViews>
  <sheetFormatPr baseColWidth="10" defaultColWidth="8.83203125" defaultRowHeight="15" x14ac:dyDescent="0.2"/>
  <cols>
    <col min="1" max="2" width="18.5" customWidth="1"/>
    <col min="4" max="4" width="25.1640625" customWidth="1"/>
    <col min="7" max="9" width="11" customWidth="1"/>
    <col min="12" max="12" width="10.5" bestFit="1" customWidth="1"/>
    <col min="13" max="13" width="14.5" bestFit="1" customWidth="1"/>
  </cols>
  <sheetData>
    <row r="1" spans="1:12" x14ac:dyDescent="0.2">
      <c r="A1" s="89" t="s">
        <v>51</v>
      </c>
      <c r="B1" s="90"/>
      <c r="C1" s="90"/>
      <c r="D1" s="90"/>
      <c r="E1" s="90"/>
      <c r="F1" s="90"/>
      <c r="L1" s="22"/>
    </row>
    <row r="2" spans="1:12" x14ac:dyDescent="0.2">
      <c r="A2" s="90"/>
      <c r="B2" s="90"/>
      <c r="C2" s="90"/>
      <c r="D2" s="90"/>
      <c r="E2" s="90"/>
      <c r="F2" s="90"/>
      <c r="L2" s="22"/>
    </row>
    <row r="5" spans="1:12" ht="19" x14ac:dyDescent="0.25">
      <c r="A5" s="71" t="s">
        <v>50</v>
      </c>
    </row>
    <row r="7" spans="1:12" x14ac:dyDescent="0.2">
      <c r="G7" t="s">
        <v>49</v>
      </c>
      <c r="K7">
        <f>AVERAGE([1]Trackers!B:B)</f>
        <v>9</v>
      </c>
    </row>
    <row r="9" spans="1:12" x14ac:dyDescent="0.2">
      <c r="G9" t="s">
        <v>48</v>
      </c>
    </row>
    <row r="19" spans="1:13" ht="19" x14ac:dyDescent="0.25">
      <c r="A19" s="71" t="s">
        <v>47</v>
      </c>
      <c r="G19" s="71"/>
      <c r="J19" s="71"/>
      <c r="M19" s="70"/>
    </row>
    <row r="20" spans="1:13" x14ac:dyDescent="0.2">
      <c r="A20" s="69" t="s">
        <v>46</v>
      </c>
      <c r="B20" t="s">
        <v>14</v>
      </c>
      <c r="C20" t="s">
        <v>22</v>
      </c>
      <c r="D20" s="39" t="s">
        <v>45</v>
      </c>
      <c r="J20" s="66"/>
    </row>
    <row r="21" spans="1:13" x14ac:dyDescent="0.2">
      <c r="A21" s="22" t="s">
        <v>68</v>
      </c>
      <c r="B21" s="68">
        <v>44524</v>
      </c>
      <c r="C21" s="83" t="s">
        <v>65</v>
      </c>
      <c r="D21" s="39">
        <v>3</v>
      </c>
      <c r="J21" s="66"/>
    </row>
    <row r="22" spans="1:13" x14ac:dyDescent="0.2">
      <c r="A22" s="22" t="s">
        <v>66</v>
      </c>
      <c r="B22" s="22">
        <v>44526</v>
      </c>
      <c r="C22" s="83" t="s">
        <v>65</v>
      </c>
      <c r="D22" s="39">
        <v>2.5</v>
      </c>
      <c r="J22" s="66"/>
    </row>
    <row r="23" spans="1:13" x14ac:dyDescent="0.2">
      <c r="A23" s="22" t="s">
        <v>74</v>
      </c>
      <c r="B23" s="22">
        <v>44527</v>
      </c>
      <c r="C23" s="83" t="s">
        <v>65</v>
      </c>
      <c r="D23" s="39">
        <v>8.3250000000000011</v>
      </c>
      <c r="J23" s="66"/>
    </row>
    <row r="24" spans="1:13" x14ac:dyDescent="0.2">
      <c r="A24" s="22" t="s">
        <v>69</v>
      </c>
      <c r="B24" s="22">
        <v>44530</v>
      </c>
      <c r="C24" s="67" t="s">
        <v>72</v>
      </c>
      <c r="D24" s="39">
        <v>4</v>
      </c>
      <c r="J24" s="66"/>
    </row>
    <row r="25" spans="1:13" x14ac:dyDescent="0.2">
      <c r="A25" s="22" t="s">
        <v>76</v>
      </c>
      <c r="B25" s="22">
        <v>44535</v>
      </c>
      <c r="C25" s="83" t="s">
        <v>65</v>
      </c>
      <c r="D25" s="39">
        <v>8.3250000000000011</v>
      </c>
      <c r="J25" s="66"/>
    </row>
    <row r="26" spans="1:13" x14ac:dyDescent="0.2">
      <c r="A26" s="22"/>
      <c r="B26" s="22"/>
      <c r="C26" s="83"/>
      <c r="D26" s="39"/>
      <c r="J26" s="66"/>
    </row>
    <row r="27" spans="1:13" x14ac:dyDescent="0.2">
      <c r="A27" s="22"/>
      <c r="B27" s="22"/>
      <c r="C27" s="22"/>
      <c r="D27" s="39"/>
      <c r="J27" s="66"/>
    </row>
    <row r="28" spans="1:13" x14ac:dyDescent="0.2">
      <c r="A28" s="22"/>
      <c r="B28" s="22"/>
      <c r="C28" s="22"/>
      <c r="D28" s="39"/>
      <c r="J28" s="66"/>
    </row>
    <row r="29" spans="1:13" x14ac:dyDescent="0.2">
      <c r="A29" s="22"/>
      <c r="B29" s="22"/>
      <c r="C29" s="22"/>
      <c r="D29" s="39"/>
      <c r="J29" s="66"/>
    </row>
    <row r="30" spans="1:13" x14ac:dyDescent="0.2">
      <c r="A30" s="22"/>
      <c r="B30" s="22"/>
      <c r="C30" s="22"/>
      <c r="D30" s="39"/>
      <c r="J30" s="66"/>
    </row>
    <row r="31" spans="1:13" x14ac:dyDescent="0.2">
      <c r="A31" s="22"/>
      <c r="B31" s="22"/>
      <c r="C31" s="22"/>
      <c r="D31" s="39"/>
      <c r="J31" s="66"/>
    </row>
    <row r="32" spans="1:13" x14ac:dyDescent="0.2">
      <c r="A32" s="22"/>
      <c r="B32" s="22"/>
      <c r="C32" s="22"/>
      <c r="D32" s="39"/>
      <c r="J32" s="66"/>
    </row>
    <row r="33" spans="1:10" x14ac:dyDescent="0.2">
      <c r="A33" s="22"/>
      <c r="B33" s="22"/>
      <c r="C33" s="22"/>
      <c r="D33" s="39"/>
      <c r="J33" s="66"/>
    </row>
    <row r="34" spans="1:10" x14ac:dyDescent="0.2">
      <c r="A34" s="22"/>
      <c r="B34" s="22"/>
      <c r="C34" s="22"/>
      <c r="D34" s="39"/>
      <c r="J34" s="66"/>
    </row>
    <row r="35" spans="1:10" x14ac:dyDescent="0.2">
      <c r="J35" s="66"/>
    </row>
    <row r="36" spans="1:10" x14ac:dyDescent="0.2">
      <c r="J36" s="66"/>
    </row>
    <row r="37" spans="1:10" x14ac:dyDescent="0.2">
      <c r="J37" s="66"/>
    </row>
    <row r="38" spans="1:10" x14ac:dyDescent="0.2">
      <c r="J38" s="66"/>
    </row>
    <row r="39" spans="1:10" x14ac:dyDescent="0.2">
      <c r="J39" s="66"/>
    </row>
    <row r="40" spans="1:10" x14ac:dyDescent="0.2">
      <c r="J40" s="66"/>
    </row>
    <row r="41" spans="1:10" x14ac:dyDescent="0.2">
      <c r="J41" s="66"/>
    </row>
    <row r="42" spans="1:10" x14ac:dyDescent="0.2">
      <c r="J42" s="66"/>
    </row>
    <row r="43" spans="1:10" x14ac:dyDescent="0.2">
      <c r="J43" s="66"/>
    </row>
    <row r="44" spans="1:10" x14ac:dyDescent="0.2">
      <c r="J44" s="66"/>
    </row>
  </sheetData>
  <mergeCells count="1">
    <mergeCell ref="A1:F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UpdateRecommend_Click">
                <anchor moveWithCells="1" sizeWithCells="1">
                  <from>
                    <xdr:col>6</xdr:col>
                    <xdr:colOff>254000</xdr:colOff>
                    <xdr:row>0</xdr:row>
                    <xdr:rowOff>152400</xdr:rowOff>
                  </from>
                  <to>
                    <xdr:col>8</xdr:col>
                    <xdr:colOff>711200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Button 3">
              <controlPr defaultSize="0" print="0" autoFill="0" autoPict="0" macro="[0]!HomeNav_Click">
                <anchor moveWithCells="1" sizeWithCells="1">
                  <from>
                    <xdr:col>9</xdr:col>
                    <xdr:colOff>177800</xdr:colOff>
                    <xdr:row>0</xdr:row>
                    <xdr:rowOff>165100</xdr:rowOff>
                  </from>
                  <to>
                    <xdr:col>10</xdr:col>
                    <xdr:colOff>177800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D8562-D1FB-405C-8746-308DDF53FC4B}">
  <sheetPr codeName="Sheet9"/>
  <dimension ref="B2:J75"/>
  <sheetViews>
    <sheetView topLeftCell="A39" workbookViewId="0">
      <selection activeCell="B16" sqref="B16"/>
    </sheetView>
  </sheetViews>
  <sheetFormatPr baseColWidth="10" defaultColWidth="8.83203125" defaultRowHeight="15" x14ac:dyDescent="0.2"/>
  <cols>
    <col min="1" max="1" width="2.83203125" customWidth="1"/>
    <col min="2" max="2" width="33.33203125" customWidth="1"/>
    <col min="3" max="3" width="28.83203125" style="79" customWidth="1"/>
    <col min="4" max="4" width="30.1640625" customWidth="1"/>
    <col min="6" max="6" width="10.5" bestFit="1" customWidth="1"/>
    <col min="7" max="7" width="22.5" bestFit="1" customWidth="1"/>
    <col min="8" max="8" width="17.33203125" bestFit="1" customWidth="1"/>
    <col min="9" max="9" width="2.6640625" customWidth="1"/>
    <col min="10" max="10" width="23.6640625" bestFit="1" customWidth="1"/>
    <col min="11" max="11" width="17.33203125" bestFit="1" customWidth="1"/>
    <col min="12" max="12" width="17.5" bestFit="1" customWidth="1"/>
  </cols>
  <sheetData>
    <row r="2" spans="2:10" x14ac:dyDescent="0.2">
      <c r="B2" s="31" t="s">
        <v>19</v>
      </c>
      <c r="C2" s="77" t="s">
        <v>43</v>
      </c>
      <c r="D2" s="32" t="s">
        <v>44</v>
      </c>
      <c r="F2" s="23"/>
    </row>
    <row r="3" spans="2:10" x14ac:dyDescent="0.2">
      <c r="B3" s="39" t="s">
        <v>87</v>
      </c>
      <c r="C3" s="78">
        <v>44533.208333333336</v>
      </c>
      <c r="D3" s="33" t="s">
        <v>91</v>
      </c>
      <c r="J3" s="34"/>
    </row>
    <row r="4" spans="2:10" x14ac:dyDescent="0.2">
      <c r="B4" s="39" t="s">
        <v>92</v>
      </c>
      <c r="C4" s="78">
        <v>44534.25</v>
      </c>
      <c r="D4" s="33" t="s">
        <v>95</v>
      </c>
      <c r="J4" s="34"/>
    </row>
    <row r="5" spans="2:10" x14ac:dyDescent="0.2">
      <c r="B5" s="39" t="s">
        <v>66</v>
      </c>
      <c r="C5" s="78">
        <v>44533</v>
      </c>
      <c r="D5" s="33" t="s">
        <v>81</v>
      </c>
      <c r="G5" s="81" t="s">
        <v>42</v>
      </c>
      <c r="H5" s="82">
        <f ca="1">IF(DAY(TODAY())&gt;3,DATE(YEAR(TODAY()),MONTH(TODAY())+1,3)+11/24,DATE(YEAR(TODAY()),MONTH(TODAY()),3)+11/24)</f>
        <v>44684.458333333336</v>
      </c>
      <c r="J5" s="34"/>
    </row>
    <row r="6" spans="2:10" x14ac:dyDescent="0.2">
      <c r="B6" s="39" t="s">
        <v>68</v>
      </c>
      <c r="C6" s="78">
        <v>44531</v>
      </c>
      <c r="D6" s="33" t="s">
        <v>82</v>
      </c>
      <c r="G6" s="3"/>
      <c r="H6" s="82">
        <f ca="1">TODAY()+IF(WEEKDAY(TODAY())&lt;=3,3-WEEKDAY(TODAY()),(10-WEEKDAY(TODAY())))+15/24</f>
        <v>44670.625</v>
      </c>
      <c r="J6" s="34"/>
    </row>
    <row r="7" spans="2:10" x14ac:dyDescent="0.2">
      <c r="B7" s="39" t="s">
        <v>69</v>
      </c>
      <c r="C7" s="78">
        <v>44535</v>
      </c>
      <c r="D7" s="33" t="s">
        <v>83</v>
      </c>
      <c r="J7" s="34"/>
    </row>
    <row r="8" spans="2:10" x14ac:dyDescent="0.2">
      <c r="B8" s="39" t="s">
        <v>74</v>
      </c>
      <c r="C8" s="78">
        <v>44534</v>
      </c>
      <c r="D8" s="33" t="s">
        <v>84</v>
      </c>
      <c r="J8" s="34"/>
    </row>
    <row r="9" spans="2:10" x14ac:dyDescent="0.2">
      <c r="B9" s="39" t="s">
        <v>76</v>
      </c>
      <c r="C9" s="78">
        <v>44542</v>
      </c>
      <c r="D9" s="33" t="s">
        <v>85</v>
      </c>
      <c r="J9" s="34"/>
    </row>
    <row r="10" spans="2:10" x14ac:dyDescent="0.2">
      <c r="B10" s="39" t="s">
        <v>78</v>
      </c>
      <c r="C10" s="78">
        <v>44537</v>
      </c>
      <c r="D10" s="33" t="s">
        <v>79</v>
      </c>
      <c r="J10" s="34"/>
    </row>
    <row r="11" spans="2:10" x14ac:dyDescent="0.2">
      <c r="B11" s="39" t="s">
        <v>96</v>
      </c>
      <c r="C11" s="78">
        <v>44447</v>
      </c>
      <c r="D11" s="33" t="s">
        <v>105</v>
      </c>
      <c r="G11" t="s">
        <v>63</v>
      </c>
      <c r="J11" s="34"/>
    </row>
    <row r="12" spans="2:10" x14ac:dyDescent="0.2">
      <c r="B12" s="39" t="s">
        <v>96</v>
      </c>
      <c r="C12" s="78">
        <v>44454</v>
      </c>
      <c r="D12" s="33" t="s">
        <v>105</v>
      </c>
      <c r="J12" s="34"/>
    </row>
    <row r="13" spans="2:10" x14ac:dyDescent="0.2">
      <c r="B13" s="39" t="s">
        <v>96</v>
      </c>
      <c r="C13" s="78">
        <v>44461</v>
      </c>
      <c r="D13" s="33" t="s">
        <v>105</v>
      </c>
      <c r="G13" s="1" t="s">
        <v>86</v>
      </c>
      <c r="H13" s="22" t="str">
        <f ca="1">TEXT(TODAY(),"mmmm d, yyyy")</f>
        <v>April 18, 2022</v>
      </c>
      <c r="J13" s="34"/>
    </row>
    <row r="14" spans="2:10" x14ac:dyDescent="0.2">
      <c r="B14" s="39" t="s">
        <v>96</v>
      </c>
      <c r="C14" s="78">
        <v>44468</v>
      </c>
      <c r="D14" s="33" t="s">
        <v>105</v>
      </c>
      <c r="J14" s="34"/>
    </row>
    <row r="15" spans="2:10" x14ac:dyDescent="0.2">
      <c r="B15" s="39" t="s">
        <v>96</v>
      </c>
      <c r="C15" s="78">
        <v>44475</v>
      </c>
      <c r="D15" s="33" t="s">
        <v>105</v>
      </c>
      <c r="J15" s="34"/>
    </row>
    <row r="16" spans="2:10" x14ac:dyDescent="0.2">
      <c r="B16" s="39" t="s">
        <v>96</v>
      </c>
      <c r="C16" s="78">
        <v>44482</v>
      </c>
      <c r="D16" s="33" t="s">
        <v>105</v>
      </c>
      <c r="J16" s="34"/>
    </row>
    <row r="17" spans="2:10" x14ac:dyDescent="0.2">
      <c r="B17" s="39" t="s">
        <v>96</v>
      </c>
      <c r="C17" s="78">
        <v>44489</v>
      </c>
      <c r="D17" s="33" t="s">
        <v>105</v>
      </c>
      <c r="J17" s="34"/>
    </row>
    <row r="18" spans="2:10" x14ac:dyDescent="0.2">
      <c r="B18" s="39" t="s">
        <v>96</v>
      </c>
      <c r="C18" s="78">
        <v>44496</v>
      </c>
      <c r="D18" s="33" t="s">
        <v>105</v>
      </c>
      <c r="J18" s="34"/>
    </row>
    <row r="19" spans="2:10" x14ac:dyDescent="0.2">
      <c r="B19" s="39" t="s">
        <v>96</v>
      </c>
      <c r="C19" s="78">
        <v>44503</v>
      </c>
      <c r="D19" s="33" t="s">
        <v>105</v>
      </c>
      <c r="J19" s="34"/>
    </row>
    <row r="20" spans="2:10" x14ac:dyDescent="0.2">
      <c r="B20" s="39" t="s">
        <v>96</v>
      </c>
      <c r="C20" s="78">
        <v>44510</v>
      </c>
      <c r="D20" s="33" t="s">
        <v>105</v>
      </c>
      <c r="J20" s="34"/>
    </row>
    <row r="21" spans="2:10" x14ac:dyDescent="0.2">
      <c r="B21" s="39" t="s">
        <v>96</v>
      </c>
      <c r="C21" s="78">
        <v>44517</v>
      </c>
      <c r="D21" s="33" t="s">
        <v>105</v>
      </c>
      <c r="H21">
        <f ca="1">WEEKDAY(TODAY())</f>
        <v>2</v>
      </c>
      <c r="J21" s="34"/>
    </row>
    <row r="22" spans="2:10" x14ac:dyDescent="0.2">
      <c r="B22" s="39" t="s">
        <v>96</v>
      </c>
      <c r="C22" s="78">
        <v>44524</v>
      </c>
      <c r="D22" s="33" t="s">
        <v>105</v>
      </c>
      <c r="J22" s="34"/>
    </row>
    <row r="23" spans="2:10" x14ac:dyDescent="0.2">
      <c r="B23" s="39" t="s">
        <v>96</v>
      </c>
      <c r="C23" s="78">
        <v>44531</v>
      </c>
      <c r="D23" s="33" t="s">
        <v>105</v>
      </c>
      <c r="J23" s="34"/>
    </row>
    <row r="24" spans="2:10" x14ac:dyDescent="0.2">
      <c r="B24" s="39" t="s">
        <v>98</v>
      </c>
      <c r="C24" s="78">
        <v>44452</v>
      </c>
      <c r="D24" s="33" t="s">
        <v>106</v>
      </c>
      <c r="J24" s="34"/>
    </row>
    <row r="25" spans="2:10" x14ac:dyDescent="0.2">
      <c r="B25" s="39" t="s">
        <v>98</v>
      </c>
      <c r="C25" s="78">
        <v>44459</v>
      </c>
      <c r="D25" s="33" t="s">
        <v>106</v>
      </c>
      <c r="J25" s="34"/>
    </row>
    <row r="26" spans="2:10" x14ac:dyDescent="0.2">
      <c r="B26" s="39" t="s">
        <v>98</v>
      </c>
      <c r="C26" s="78">
        <v>44466</v>
      </c>
      <c r="D26" s="33" t="s">
        <v>106</v>
      </c>
      <c r="J26" s="34"/>
    </row>
    <row r="27" spans="2:10" x14ac:dyDescent="0.2">
      <c r="B27" s="39" t="s">
        <v>98</v>
      </c>
      <c r="C27" s="78">
        <v>44473</v>
      </c>
      <c r="D27" s="33" t="s">
        <v>106</v>
      </c>
      <c r="J27" s="34"/>
    </row>
    <row r="28" spans="2:10" x14ac:dyDescent="0.2">
      <c r="B28" s="39" t="s">
        <v>98</v>
      </c>
      <c r="C28" s="78">
        <v>44480</v>
      </c>
      <c r="D28" s="33" t="s">
        <v>106</v>
      </c>
      <c r="J28" s="34"/>
    </row>
    <row r="29" spans="2:10" x14ac:dyDescent="0.2">
      <c r="B29" s="39" t="s">
        <v>98</v>
      </c>
      <c r="C29" s="78">
        <v>44487</v>
      </c>
      <c r="D29" s="33" t="s">
        <v>106</v>
      </c>
      <c r="J29" s="34"/>
    </row>
    <row r="30" spans="2:10" x14ac:dyDescent="0.2">
      <c r="B30" s="39" t="s">
        <v>98</v>
      </c>
      <c r="C30" s="78">
        <v>44494</v>
      </c>
      <c r="D30" s="33" t="s">
        <v>106</v>
      </c>
      <c r="J30" s="34"/>
    </row>
    <row r="31" spans="2:10" x14ac:dyDescent="0.2">
      <c r="B31" s="39" t="s">
        <v>98</v>
      </c>
      <c r="C31" s="78">
        <v>44501</v>
      </c>
      <c r="D31" s="33" t="s">
        <v>106</v>
      </c>
      <c r="J31" s="34"/>
    </row>
    <row r="32" spans="2:10" x14ac:dyDescent="0.2">
      <c r="B32" s="39" t="s">
        <v>98</v>
      </c>
      <c r="C32" s="78">
        <v>44508</v>
      </c>
      <c r="D32" s="33" t="s">
        <v>106</v>
      </c>
      <c r="J32" s="34"/>
    </row>
    <row r="33" spans="2:10" x14ac:dyDescent="0.2">
      <c r="B33" s="39" t="s">
        <v>98</v>
      </c>
      <c r="C33" s="78">
        <v>44515</v>
      </c>
      <c r="D33" s="33" t="s">
        <v>106</v>
      </c>
      <c r="J33" s="34"/>
    </row>
    <row r="34" spans="2:10" x14ac:dyDescent="0.2">
      <c r="B34" s="39" t="s">
        <v>98</v>
      </c>
      <c r="C34" s="78">
        <v>44522</v>
      </c>
      <c r="D34" s="33" t="s">
        <v>106</v>
      </c>
      <c r="J34" s="34"/>
    </row>
    <row r="35" spans="2:10" x14ac:dyDescent="0.2">
      <c r="B35" s="39" t="s">
        <v>98</v>
      </c>
      <c r="C35" s="78">
        <v>44529</v>
      </c>
      <c r="D35" s="33" t="s">
        <v>106</v>
      </c>
      <c r="J35" s="34"/>
    </row>
    <row r="36" spans="2:10" x14ac:dyDescent="0.2">
      <c r="B36" s="39" t="s">
        <v>98</v>
      </c>
      <c r="C36" s="78">
        <v>44536</v>
      </c>
      <c r="D36" s="33" t="s">
        <v>106</v>
      </c>
      <c r="J36" s="34"/>
    </row>
    <row r="37" spans="2:10" x14ac:dyDescent="0.2">
      <c r="B37" s="39" t="s">
        <v>100</v>
      </c>
      <c r="C37" s="78">
        <v>44452</v>
      </c>
      <c r="D37" s="33" t="s">
        <v>107</v>
      </c>
      <c r="J37" s="34"/>
    </row>
    <row r="38" spans="2:10" x14ac:dyDescent="0.2">
      <c r="B38" s="39" t="s">
        <v>100</v>
      </c>
      <c r="C38" s="78">
        <v>44459</v>
      </c>
      <c r="D38" s="33" t="s">
        <v>107</v>
      </c>
    </row>
    <row r="39" spans="2:10" x14ac:dyDescent="0.2">
      <c r="B39" s="39" t="s">
        <v>100</v>
      </c>
      <c r="C39" s="78">
        <v>44466</v>
      </c>
      <c r="D39" s="33" t="s">
        <v>107</v>
      </c>
      <c r="J39" s="34"/>
    </row>
    <row r="40" spans="2:10" x14ac:dyDescent="0.2">
      <c r="B40" s="39" t="s">
        <v>100</v>
      </c>
      <c r="C40" s="78">
        <v>44473</v>
      </c>
      <c r="D40" s="33" t="s">
        <v>107</v>
      </c>
      <c r="J40" s="34"/>
    </row>
    <row r="41" spans="2:10" x14ac:dyDescent="0.2">
      <c r="B41" s="39" t="s">
        <v>100</v>
      </c>
      <c r="C41" s="78">
        <v>44480</v>
      </c>
      <c r="D41" s="33" t="s">
        <v>107</v>
      </c>
      <c r="J41" s="34"/>
    </row>
    <row r="42" spans="2:10" x14ac:dyDescent="0.2">
      <c r="B42" s="39" t="s">
        <v>100</v>
      </c>
      <c r="C42" s="78">
        <v>44487</v>
      </c>
      <c r="D42" s="33" t="s">
        <v>107</v>
      </c>
      <c r="J42" s="34"/>
    </row>
    <row r="43" spans="2:10" x14ac:dyDescent="0.2">
      <c r="B43" s="39" t="s">
        <v>100</v>
      </c>
      <c r="C43" s="78">
        <v>44494</v>
      </c>
      <c r="D43" s="33" t="s">
        <v>107</v>
      </c>
      <c r="J43" s="34"/>
    </row>
    <row r="44" spans="2:10" x14ac:dyDescent="0.2">
      <c r="B44" s="39" t="s">
        <v>100</v>
      </c>
      <c r="C44" s="78">
        <v>44501</v>
      </c>
      <c r="D44" s="33" t="s">
        <v>107</v>
      </c>
      <c r="J44" s="35"/>
    </row>
    <row r="45" spans="2:10" x14ac:dyDescent="0.2">
      <c r="B45" s="39" t="s">
        <v>100</v>
      </c>
      <c r="C45" s="78">
        <v>44508</v>
      </c>
      <c r="D45" s="33" t="s">
        <v>107</v>
      </c>
      <c r="J45" s="34"/>
    </row>
    <row r="46" spans="2:10" x14ac:dyDescent="0.2">
      <c r="B46" s="39" t="s">
        <v>100</v>
      </c>
      <c r="C46" s="78">
        <v>44515</v>
      </c>
      <c r="D46" s="33" t="s">
        <v>107</v>
      </c>
      <c r="J46" s="34"/>
    </row>
    <row r="47" spans="2:10" x14ac:dyDescent="0.2">
      <c r="B47" s="39" t="s">
        <v>100</v>
      </c>
      <c r="C47" s="78">
        <v>44522</v>
      </c>
      <c r="D47" s="33" t="s">
        <v>107</v>
      </c>
      <c r="J47" s="34"/>
    </row>
    <row r="48" spans="2:10" x14ac:dyDescent="0.2">
      <c r="B48" s="39" t="s">
        <v>100</v>
      </c>
      <c r="C48" s="78">
        <v>44529</v>
      </c>
      <c r="D48" s="33" t="s">
        <v>107</v>
      </c>
      <c r="J48" s="34"/>
    </row>
    <row r="49" spans="2:10" x14ac:dyDescent="0.2">
      <c r="B49" s="39" t="s">
        <v>100</v>
      </c>
      <c r="C49" s="78">
        <v>44536</v>
      </c>
      <c r="D49" s="33" t="s">
        <v>107</v>
      </c>
      <c r="J49" s="34"/>
    </row>
    <row r="50" spans="2:10" x14ac:dyDescent="0.2">
      <c r="B50" s="39" t="s">
        <v>101</v>
      </c>
      <c r="C50" s="78">
        <v>44453</v>
      </c>
      <c r="D50" s="33" t="s">
        <v>108</v>
      </c>
      <c r="J50" s="34"/>
    </row>
    <row r="51" spans="2:10" x14ac:dyDescent="0.2">
      <c r="B51" s="39" t="s">
        <v>101</v>
      </c>
      <c r="C51" s="78">
        <v>44460</v>
      </c>
      <c r="D51" s="33" t="s">
        <v>108</v>
      </c>
      <c r="J51" s="34"/>
    </row>
    <row r="52" spans="2:10" x14ac:dyDescent="0.2">
      <c r="B52" s="39" t="s">
        <v>101</v>
      </c>
      <c r="C52" s="78">
        <v>44467</v>
      </c>
      <c r="D52" s="33" t="s">
        <v>108</v>
      </c>
      <c r="J52" s="34"/>
    </row>
    <row r="53" spans="2:10" x14ac:dyDescent="0.2">
      <c r="B53" s="39" t="s">
        <v>101</v>
      </c>
      <c r="C53" s="78">
        <v>44474</v>
      </c>
      <c r="D53" s="33" t="s">
        <v>108</v>
      </c>
      <c r="J53" s="34"/>
    </row>
    <row r="54" spans="2:10" x14ac:dyDescent="0.2">
      <c r="B54" s="39" t="s">
        <v>101</v>
      </c>
      <c r="C54" s="78">
        <v>44481</v>
      </c>
      <c r="D54" s="33" t="s">
        <v>108</v>
      </c>
      <c r="J54" s="34"/>
    </row>
    <row r="55" spans="2:10" x14ac:dyDescent="0.2">
      <c r="B55" s="39" t="s">
        <v>101</v>
      </c>
      <c r="C55" s="78">
        <v>44488</v>
      </c>
      <c r="D55" s="33" t="s">
        <v>108</v>
      </c>
      <c r="J55" s="34"/>
    </row>
    <row r="56" spans="2:10" x14ac:dyDescent="0.2">
      <c r="B56" s="39" t="s">
        <v>101</v>
      </c>
      <c r="C56" s="78">
        <v>44495</v>
      </c>
      <c r="D56" s="33" t="s">
        <v>108</v>
      </c>
      <c r="J56" s="34"/>
    </row>
    <row r="57" spans="2:10" x14ac:dyDescent="0.2">
      <c r="B57" s="39" t="s">
        <v>101</v>
      </c>
      <c r="C57" s="78">
        <v>44502</v>
      </c>
      <c r="D57" s="33" t="s">
        <v>108</v>
      </c>
      <c r="J57" s="34"/>
    </row>
    <row r="58" spans="2:10" x14ac:dyDescent="0.2">
      <c r="B58" s="39" t="s">
        <v>101</v>
      </c>
      <c r="C58" s="78">
        <v>44509</v>
      </c>
      <c r="D58" s="33" t="s">
        <v>108</v>
      </c>
      <c r="J58" s="34"/>
    </row>
    <row r="59" spans="2:10" x14ac:dyDescent="0.2">
      <c r="B59" s="39" t="s">
        <v>101</v>
      </c>
      <c r="C59" s="78">
        <v>44516</v>
      </c>
      <c r="D59" s="33" t="s">
        <v>108</v>
      </c>
    </row>
    <row r="60" spans="2:10" x14ac:dyDescent="0.2">
      <c r="B60" s="39" t="s">
        <v>101</v>
      </c>
      <c r="C60" s="78">
        <v>44523</v>
      </c>
      <c r="D60" s="33" t="s">
        <v>108</v>
      </c>
    </row>
    <row r="61" spans="2:10" x14ac:dyDescent="0.2">
      <c r="B61" s="39" t="s">
        <v>101</v>
      </c>
      <c r="C61" s="78">
        <v>44530</v>
      </c>
      <c r="D61" s="33" t="s">
        <v>108</v>
      </c>
    </row>
    <row r="62" spans="2:10" x14ac:dyDescent="0.2">
      <c r="B62" s="39" t="s">
        <v>101</v>
      </c>
      <c r="C62" s="78">
        <v>44537</v>
      </c>
      <c r="D62" s="33" t="s">
        <v>108</v>
      </c>
    </row>
    <row r="63" spans="2:10" x14ac:dyDescent="0.2">
      <c r="B63" s="39" t="s">
        <v>103</v>
      </c>
      <c r="C63" s="78">
        <v>44448</v>
      </c>
      <c r="D63" s="33" t="s">
        <v>109</v>
      </c>
    </row>
    <row r="64" spans="2:10" x14ac:dyDescent="0.2">
      <c r="B64" s="39" t="s">
        <v>103</v>
      </c>
      <c r="C64" s="78">
        <v>44455</v>
      </c>
      <c r="D64" s="33" t="s">
        <v>109</v>
      </c>
    </row>
    <row r="65" spans="2:4" x14ac:dyDescent="0.2">
      <c r="B65" s="39" t="s">
        <v>103</v>
      </c>
      <c r="C65" s="78">
        <v>44462</v>
      </c>
      <c r="D65" s="33" t="s">
        <v>109</v>
      </c>
    </row>
    <row r="66" spans="2:4" x14ac:dyDescent="0.2">
      <c r="B66" s="39" t="s">
        <v>103</v>
      </c>
      <c r="C66" s="78">
        <v>44469</v>
      </c>
      <c r="D66" s="33" t="s">
        <v>109</v>
      </c>
    </row>
    <row r="67" spans="2:4" x14ac:dyDescent="0.2">
      <c r="B67" s="39" t="s">
        <v>103</v>
      </c>
      <c r="C67" s="78">
        <v>44476</v>
      </c>
      <c r="D67" s="33" t="s">
        <v>109</v>
      </c>
    </row>
    <row r="68" spans="2:4" x14ac:dyDescent="0.2">
      <c r="B68" s="39" t="s">
        <v>103</v>
      </c>
      <c r="C68" s="78">
        <v>44483</v>
      </c>
      <c r="D68" s="33" t="s">
        <v>109</v>
      </c>
    </row>
    <row r="69" spans="2:4" x14ac:dyDescent="0.2">
      <c r="B69" s="39" t="s">
        <v>103</v>
      </c>
      <c r="C69" s="78">
        <v>44490</v>
      </c>
      <c r="D69" s="33" t="s">
        <v>109</v>
      </c>
    </row>
    <row r="70" spans="2:4" x14ac:dyDescent="0.2">
      <c r="B70" s="39" t="s">
        <v>103</v>
      </c>
      <c r="C70" s="78">
        <v>44497</v>
      </c>
      <c r="D70" s="33" t="s">
        <v>109</v>
      </c>
    </row>
    <row r="71" spans="2:4" x14ac:dyDescent="0.2">
      <c r="B71" s="39" t="s">
        <v>103</v>
      </c>
      <c r="C71" s="78">
        <v>44504</v>
      </c>
      <c r="D71" s="33" t="s">
        <v>109</v>
      </c>
    </row>
    <row r="72" spans="2:4" x14ac:dyDescent="0.2">
      <c r="B72" s="39" t="s">
        <v>103</v>
      </c>
      <c r="C72" s="78">
        <v>44511</v>
      </c>
      <c r="D72" s="33" t="s">
        <v>109</v>
      </c>
    </row>
    <row r="73" spans="2:4" x14ac:dyDescent="0.2">
      <c r="B73" s="39" t="s">
        <v>103</v>
      </c>
      <c r="C73" s="78">
        <v>44518</v>
      </c>
      <c r="D73" s="33" t="s">
        <v>109</v>
      </c>
    </row>
    <row r="74" spans="2:4" x14ac:dyDescent="0.2">
      <c r="B74" s="39" t="s">
        <v>103</v>
      </c>
      <c r="C74" s="78">
        <v>44525</v>
      </c>
      <c r="D74" s="33" t="s">
        <v>109</v>
      </c>
    </row>
    <row r="75" spans="2:4" x14ac:dyDescent="0.2">
      <c r="B75" s="39" t="s">
        <v>103</v>
      </c>
      <c r="C75" s="78">
        <v>44532</v>
      </c>
      <c r="D75" s="33" t="s">
        <v>109</v>
      </c>
    </row>
  </sheetData>
  <printOptions headings="1" gridLine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chedule_Refresh_Click">
                <anchor moveWithCells="1" sizeWithCells="1">
                  <from>
                    <xdr:col>6</xdr:col>
                    <xdr:colOff>12700</xdr:colOff>
                    <xdr:row>6</xdr:row>
                    <xdr:rowOff>76200</xdr:rowOff>
                  </from>
                  <to>
                    <xdr:col>6</xdr:col>
                    <xdr:colOff>1130300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HomeNav_Click">
                <anchor moveWithCells="1" sizeWithCells="1">
                  <from>
                    <xdr:col>6</xdr:col>
                    <xdr:colOff>12700</xdr:colOff>
                    <xdr:row>1</xdr:row>
                    <xdr:rowOff>12700</xdr:rowOff>
                  </from>
                  <to>
                    <xdr:col>6</xdr:col>
                    <xdr:colOff>596900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CalendarNav_Click">
                <anchor moveWithCells="1" sizeWithCells="1">
                  <from>
                    <xdr:col>6</xdr:col>
                    <xdr:colOff>914400</xdr:colOff>
                    <xdr:row>1</xdr:row>
                    <xdr:rowOff>12700</xdr:rowOff>
                  </from>
                  <to>
                    <xdr:col>7</xdr:col>
                    <xdr:colOff>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77310-1ED3-47DB-A2FB-711F3967A125}">
  <sheetPr codeName="Sheet10"/>
  <dimension ref="B2:N41"/>
  <sheetViews>
    <sheetView showGridLines="0" workbookViewId="0">
      <selection activeCell="H3" sqref="H3"/>
    </sheetView>
  </sheetViews>
  <sheetFormatPr baseColWidth="10" defaultColWidth="8.83203125" defaultRowHeight="15" x14ac:dyDescent="0.2"/>
  <cols>
    <col min="1" max="1" width="2.83203125" customWidth="1"/>
    <col min="2" max="4" width="18.33203125" customWidth="1"/>
    <col min="5" max="5" width="19.5" customWidth="1"/>
    <col min="6" max="8" width="18.33203125" customWidth="1"/>
    <col min="9" max="9" width="2.83203125" customWidth="1"/>
    <col min="10" max="10" width="18.33203125" customWidth="1"/>
    <col min="11" max="11" width="36.83203125" customWidth="1"/>
    <col min="12" max="12" width="2.83203125" customWidth="1"/>
    <col min="13" max="13" width="18.33203125" customWidth="1"/>
    <col min="14" max="14" width="36.83203125" customWidth="1"/>
  </cols>
  <sheetData>
    <row r="2" spans="2:14" x14ac:dyDescent="0.2">
      <c r="C2" s="3"/>
      <c r="D2" s="98">
        <v>44532</v>
      </c>
      <c r="E2" s="98"/>
      <c r="G2" s="20" t="s">
        <v>32</v>
      </c>
      <c r="H2" s="21" t="s">
        <v>33</v>
      </c>
      <c r="K2" s="22"/>
    </row>
    <row r="3" spans="2:14" x14ac:dyDescent="0.2">
      <c r="B3" s="23"/>
      <c r="D3" s="98"/>
      <c r="E3" s="98"/>
      <c r="F3" s="3"/>
      <c r="G3" s="24"/>
      <c r="J3" s="25" t="s">
        <v>34</v>
      </c>
      <c r="K3" s="26">
        <v>44536</v>
      </c>
      <c r="M3" s="1"/>
    </row>
    <row r="4" spans="2:14" x14ac:dyDescent="0.2">
      <c r="F4" s="48"/>
      <c r="I4" s="3"/>
      <c r="J4" s="3"/>
      <c r="K4" s="3"/>
      <c r="L4" s="3"/>
      <c r="M4" s="3"/>
      <c r="N4" s="3"/>
    </row>
    <row r="5" spans="2:14" x14ac:dyDescent="0.2">
      <c r="B5" s="27" t="s">
        <v>35</v>
      </c>
      <c r="C5" s="28" t="s">
        <v>36</v>
      </c>
      <c r="D5" s="28" t="s">
        <v>37</v>
      </c>
      <c r="E5" s="28" t="s">
        <v>38</v>
      </c>
      <c r="F5" s="28" t="s">
        <v>39</v>
      </c>
      <c r="G5" s="28" t="s">
        <v>40</v>
      </c>
      <c r="H5" s="40" t="s">
        <v>41</v>
      </c>
      <c r="I5" s="3"/>
      <c r="J5" s="41"/>
      <c r="K5" s="41"/>
      <c r="L5" s="3"/>
      <c r="M5" s="41"/>
      <c r="N5" s="41"/>
    </row>
    <row r="6" spans="2:14" x14ac:dyDescent="0.2">
      <c r="B6" s="29">
        <f>DATE(YEAR(D2),MONTH(D2),1)-WEEKDAY(DATE(YEAR(D2),MONTH(D2),1))+1</f>
        <v>44528</v>
      </c>
      <c r="C6" s="30">
        <f t="shared" ref="C6:H6" si="0">B6+1</f>
        <v>44529</v>
      </c>
      <c r="D6" s="30">
        <f t="shared" si="0"/>
        <v>44530</v>
      </c>
      <c r="E6" s="30">
        <f t="shared" si="0"/>
        <v>44531</v>
      </c>
      <c r="F6" s="30">
        <f t="shared" si="0"/>
        <v>44532</v>
      </c>
      <c r="G6" s="30">
        <f t="shared" si="0"/>
        <v>44533</v>
      </c>
      <c r="H6" s="29">
        <f t="shared" si="0"/>
        <v>44534</v>
      </c>
      <c r="I6" s="11"/>
      <c r="J6" s="42"/>
      <c r="K6" s="43"/>
      <c r="L6" s="3"/>
      <c r="M6" s="44"/>
      <c r="N6" s="43"/>
    </row>
    <row r="7" spans="2:14" x14ac:dyDescent="0.2">
      <c r="B7" s="99" t="str">
        <f>Lookup_concat(B6,Table18[Date &amp; Time],Table18[Title &amp; Time])</f>
        <v/>
      </c>
      <c r="C7" s="94" t="str">
        <f>Lookup_concat(C6,Table18[Date &amp; Time],Table18[Title &amp; Time])</f>
        <v xml:space="preserve">04:00:00 - Math 115
02:00:00 - Math 116
</v>
      </c>
      <c r="D7" s="94" t="str">
        <f>Lookup_concat(D6,Table18[Date &amp; Time],Table18[Title &amp; Time])</f>
        <v xml:space="preserve">08:00:00 - MSCI 100
</v>
      </c>
      <c r="E7" s="94" t="str">
        <f>Lookup_concat(E6,Table18[Date &amp; Time],Table18[Title &amp; Time])</f>
        <v xml:space="preserve">Math 115 Assignment (6 %)
04:00:00 - PHYS 115
</v>
      </c>
      <c r="F7" s="94" t="str">
        <f>Lookup_concat(F6,Table18[Date &amp; Time],Table18[Title &amp; Time])</f>
        <v xml:space="preserve">06:00:00 - CHE 102
</v>
      </c>
      <c r="G7" s="94" t="str">
        <f>Lookup_concat(G6,Table18[Date &amp; Time],Table18[Title &amp; Time])</f>
        <v xml:space="preserve">05:00:00 - Doing physics 
Math 116 Assignment (5 %)
</v>
      </c>
      <c r="H7" s="96" t="str">
        <f>Lookup_concat(H6,Table18[Date &amp; Time],Table18[Title &amp; Time])</f>
        <v xml:space="preserve">06:00:00 - Traveling home
Studying for Phys 115 Exa
</v>
      </c>
      <c r="I7" s="11"/>
      <c r="J7" s="42"/>
      <c r="K7" s="43"/>
      <c r="L7" s="3"/>
      <c r="M7" s="3"/>
      <c r="N7" s="3"/>
    </row>
    <row r="8" spans="2:14" x14ac:dyDescent="0.2">
      <c r="B8" s="94"/>
      <c r="C8" s="94"/>
      <c r="D8" s="94"/>
      <c r="E8" s="94"/>
      <c r="F8" s="94"/>
      <c r="G8" s="94"/>
      <c r="H8" s="96"/>
      <c r="I8" s="11"/>
      <c r="J8" s="42"/>
      <c r="K8" s="43"/>
      <c r="L8" s="3"/>
      <c r="M8" s="45"/>
      <c r="N8" s="3"/>
    </row>
    <row r="9" spans="2:14" x14ac:dyDescent="0.2">
      <c r="B9" s="94"/>
      <c r="C9" s="94"/>
      <c r="D9" s="94"/>
      <c r="E9" s="94"/>
      <c r="F9" s="94"/>
      <c r="G9" s="94"/>
      <c r="H9" s="96"/>
      <c r="I9" s="11"/>
      <c r="J9" s="42"/>
      <c r="K9" s="43"/>
      <c r="L9" s="3"/>
      <c r="M9" s="3"/>
      <c r="N9" s="3"/>
    </row>
    <row r="10" spans="2:14" x14ac:dyDescent="0.2">
      <c r="B10" s="94"/>
      <c r="C10" s="94"/>
      <c r="D10" s="94"/>
      <c r="E10" s="94"/>
      <c r="F10" s="94"/>
      <c r="G10" s="94"/>
      <c r="H10" s="96"/>
      <c r="I10" s="11"/>
      <c r="J10" s="42"/>
      <c r="K10" s="43"/>
      <c r="L10" s="3"/>
      <c r="M10" s="3"/>
      <c r="N10" s="3"/>
    </row>
    <row r="11" spans="2:14" x14ac:dyDescent="0.2">
      <c r="B11" s="95"/>
      <c r="C11" s="95"/>
      <c r="D11" s="95"/>
      <c r="E11" s="95"/>
      <c r="F11" s="95"/>
      <c r="G11" s="95"/>
      <c r="H11" s="97"/>
      <c r="I11" s="11"/>
      <c r="J11" s="42"/>
      <c r="K11" s="43"/>
      <c r="L11" s="3"/>
      <c r="M11" s="3"/>
      <c r="N11" s="3"/>
    </row>
    <row r="12" spans="2:14" x14ac:dyDescent="0.2">
      <c r="B12" s="30">
        <f>H6+1</f>
        <v>44535</v>
      </c>
      <c r="C12" s="30">
        <f t="shared" ref="C12:H12" si="1">B12+1</f>
        <v>44536</v>
      </c>
      <c r="D12" s="30">
        <f t="shared" si="1"/>
        <v>44537</v>
      </c>
      <c r="E12" s="30">
        <f t="shared" si="1"/>
        <v>44538</v>
      </c>
      <c r="F12" s="30">
        <f t="shared" si="1"/>
        <v>44539</v>
      </c>
      <c r="G12" s="30">
        <f t="shared" si="1"/>
        <v>44540</v>
      </c>
      <c r="H12" s="29">
        <f t="shared" si="1"/>
        <v>44541</v>
      </c>
      <c r="I12" s="11"/>
      <c r="J12" s="42"/>
      <c r="K12" s="43"/>
      <c r="L12" s="3"/>
      <c r="M12" s="3"/>
      <c r="N12" s="3"/>
    </row>
    <row r="13" spans="2:14" ht="15" customHeight="1" x14ac:dyDescent="0.2">
      <c r="B13" s="94" t="str">
        <f>Lookup_concat(B12,Table18[Date &amp; Time],Table18[Title &amp; Time])</f>
        <v xml:space="preserve">Phys 115 (8 %)
</v>
      </c>
      <c r="C13" s="94" t="str">
        <f>Lookup_concat(C12,Table18[Date &amp; Time],Table18[Title &amp; Time])</f>
        <v xml:space="preserve">04:00:00 - Math 115
02:00:00 - Math 116
</v>
      </c>
      <c r="D13" s="94" t="str">
        <f>Lookup_concat(D12,Table18[Date &amp; Time],Table18[Title &amp; Time])</f>
        <v xml:space="preserve">Chem Unit 6 Assignment (5
08:00:00 - MSCI 100
</v>
      </c>
      <c r="E13" s="94" t="str">
        <f>Lookup_concat(E12,Table18[Date &amp; Time],Table18[Title &amp; Time])</f>
        <v/>
      </c>
      <c r="F13" s="94" t="str">
        <f>Lookup_concat(F12,Table18[Date &amp; Time],Table18[Title &amp; Time])</f>
        <v/>
      </c>
      <c r="G13" s="94" t="str">
        <f>Lookup_concat(G12,Table18[Date &amp; Time],Table18[Title &amp; Time])</f>
        <v/>
      </c>
      <c r="H13" s="96" t="str">
        <f>Lookup_concat(H12,Table18[Date &amp; Time],Table18[Title &amp; Time])</f>
        <v/>
      </c>
      <c r="I13" s="11"/>
      <c r="J13" s="42"/>
      <c r="K13" s="43"/>
      <c r="L13" s="3"/>
      <c r="M13" s="3"/>
      <c r="N13" s="3"/>
    </row>
    <row r="14" spans="2:14" x14ac:dyDescent="0.2">
      <c r="B14" s="94"/>
      <c r="C14" s="94"/>
      <c r="D14" s="94"/>
      <c r="E14" s="94"/>
      <c r="F14" s="94"/>
      <c r="G14" s="94"/>
      <c r="H14" s="96"/>
      <c r="I14" s="11"/>
      <c r="J14" s="42"/>
      <c r="K14" s="43"/>
      <c r="L14" s="3"/>
      <c r="M14" s="3"/>
      <c r="N14" s="3"/>
    </row>
    <row r="15" spans="2:14" x14ac:dyDescent="0.2">
      <c r="B15" s="94"/>
      <c r="C15" s="94"/>
      <c r="D15" s="94"/>
      <c r="E15" s="94"/>
      <c r="F15" s="94"/>
      <c r="G15" s="94"/>
      <c r="H15" s="96"/>
      <c r="I15" s="11"/>
      <c r="J15" s="42"/>
      <c r="K15" s="43"/>
      <c r="L15" s="3"/>
      <c r="M15" s="3"/>
      <c r="N15" s="3"/>
    </row>
    <row r="16" spans="2:14" x14ac:dyDescent="0.2">
      <c r="B16" s="94"/>
      <c r="C16" s="94"/>
      <c r="D16" s="94"/>
      <c r="E16" s="94"/>
      <c r="F16" s="94"/>
      <c r="G16" s="94"/>
      <c r="H16" s="96"/>
      <c r="I16" s="11"/>
      <c r="J16" s="42"/>
      <c r="K16" s="43"/>
      <c r="L16" s="3"/>
      <c r="M16" s="3"/>
      <c r="N16" s="3"/>
    </row>
    <row r="17" spans="2:14" x14ac:dyDescent="0.2">
      <c r="B17" s="95"/>
      <c r="C17" s="95"/>
      <c r="D17" s="95"/>
      <c r="E17" s="95"/>
      <c r="F17" s="95"/>
      <c r="G17" s="95"/>
      <c r="H17" s="97"/>
      <c r="I17" s="11"/>
      <c r="J17" s="42"/>
      <c r="K17" s="43"/>
      <c r="L17" s="3"/>
      <c r="M17" s="3"/>
      <c r="N17" s="3"/>
    </row>
    <row r="18" spans="2:14" x14ac:dyDescent="0.2">
      <c r="B18" s="30">
        <f>H12+1</f>
        <v>44542</v>
      </c>
      <c r="C18" s="30">
        <f t="shared" ref="C18:H18" si="2">B18+1</f>
        <v>44543</v>
      </c>
      <c r="D18" s="30">
        <f t="shared" si="2"/>
        <v>44544</v>
      </c>
      <c r="E18" s="30">
        <f t="shared" si="2"/>
        <v>44545</v>
      </c>
      <c r="F18" s="30">
        <f t="shared" si="2"/>
        <v>44546</v>
      </c>
      <c r="G18" s="30">
        <f t="shared" si="2"/>
        <v>44547</v>
      </c>
      <c r="H18" s="29">
        <f t="shared" si="2"/>
        <v>44548</v>
      </c>
      <c r="I18" s="11"/>
      <c r="J18" s="42"/>
      <c r="K18" s="43"/>
      <c r="L18" s="3"/>
      <c r="M18" s="3"/>
      <c r="N18" s="3"/>
    </row>
    <row r="19" spans="2:14" ht="15" customHeight="1" x14ac:dyDescent="0.2">
      <c r="B19" s="94" t="str">
        <f>Lookup_concat(B18,Table18[Date &amp; Time],Table18[Title &amp; Time])</f>
        <v xml:space="preserve">Study for Chem Exam (25 %
</v>
      </c>
      <c r="C19" s="94" t="str">
        <f>Lookup_concat(C18,Table18[Date &amp; Time],Table18[Title &amp; Time])</f>
        <v/>
      </c>
      <c r="D19" s="94" t="str">
        <f>Lookup_concat(D18,Table18[Date &amp; Time],Table18[Title &amp; Time])</f>
        <v/>
      </c>
      <c r="E19" s="94" t="str">
        <f>Lookup_concat(E18,Table18[Date &amp; Time],Table18[Title &amp; Time])</f>
        <v/>
      </c>
      <c r="F19" s="94" t="str">
        <f>Lookup_concat(F18,Table18[Date &amp; Time],Table18[Title &amp; Time])</f>
        <v/>
      </c>
      <c r="G19" s="94" t="str">
        <f>Lookup_concat(G18,Table18[Date &amp; Time],Table18[Title &amp; Time])</f>
        <v/>
      </c>
      <c r="H19" s="96" t="str">
        <f>Lookup_concat(H18,Table18[Date &amp; Time],Table18[Title &amp; Time])</f>
        <v/>
      </c>
      <c r="I19" s="11"/>
      <c r="J19" s="42"/>
      <c r="K19" s="43"/>
      <c r="L19" s="3"/>
      <c r="M19" s="3"/>
      <c r="N19" s="3"/>
    </row>
    <row r="20" spans="2:14" x14ac:dyDescent="0.2">
      <c r="B20" s="94"/>
      <c r="C20" s="94"/>
      <c r="D20" s="94"/>
      <c r="E20" s="94"/>
      <c r="F20" s="94"/>
      <c r="G20" s="94"/>
      <c r="H20" s="96"/>
      <c r="I20" s="11"/>
      <c r="J20" s="42"/>
      <c r="K20" s="43"/>
      <c r="L20" s="3"/>
      <c r="M20" s="3"/>
      <c r="N20" s="3"/>
    </row>
    <row r="21" spans="2:14" x14ac:dyDescent="0.2">
      <c r="B21" s="94"/>
      <c r="C21" s="94"/>
      <c r="D21" s="94"/>
      <c r="E21" s="94"/>
      <c r="F21" s="94"/>
      <c r="G21" s="94"/>
      <c r="H21" s="96"/>
      <c r="I21" s="11"/>
      <c r="J21" s="42"/>
      <c r="K21" s="43"/>
      <c r="L21" s="3"/>
      <c r="M21" s="3"/>
      <c r="N21" s="3"/>
    </row>
    <row r="22" spans="2:14" x14ac:dyDescent="0.2">
      <c r="B22" s="94"/>
      <c r="C22" s="94"/>
      <c r="D22" s="94"/>
      <c r="E22" s="94"/>
      <c r="F22" s="94"/>
      <c r="G22" s="94"/>
      <c r="H22" s="96"/>
      <c r="I22" s="11"/>
      <c r="J22" s="42"/>
      <c r="K22" s="43"/>
      <c r="L22" s="3"/>
      <c r="M22" s="3"/>
      <c r="N22" s="3"/>
    </row>
    <row r="23" spans="2:14" x14ac:dyDescent="0.2">
      <c r="B23" s="95"/>
      <c r="C23" s="95"/>
      <c r="D23" s="95"/>
      <c r="E23" s="95"/>
      <c r="F23" s="95"/>
      <c r="G23" s="95"/>
      <c r="H23" s="97"/>
      <c r="I23" s="11"/>
      <c r="J23" s="42"/>
      <c r="K23" s="43"/>
      <c r="L23" s="3"/>
      <c r="M23" s="3"/>
      <c r="N23" s="3"/>
    </row>
    <row r="24" spans="2:14" x14ac:dyDescent="0.2">
      <c r="B24" s="30">
        <f>H18+1</f>
        <v>44549</v>
      </c>
      <c r="C24" s="30">
        <f t="shared" ref="C24:H24" si="3">B24+1</f>
        <v>44550</v>
      </c>
      <c r="D24" s="30">
        <f t="shared" si="3"/>
        <v>44551</v>
      </c>
      <c r="E24" s="30">
        <f t="shared" si="3"/>
        <v>44552</v>
      </c>
      <c r="F24" s="30">
        <f t="shared" si="3"/>
        <v>44553</v>
      </c>
      <c r="G24" s="30">
        <f t="shared" si="3"/>
        <v>44554</v>
      </c>
      <c r="H24" s="29">
        <f t="shared" si="3"/>
        <v>44555</v>
      </c>
      <c r="I24" s="46"/>
      <c r="J24" s="42"/>
      <c r="K24" s="43"/>
      <c r="L24" s="3"/>
      <c r="M24" s="3"/>
      <c r="N24" s="3"/>
    </row>
    <row r="25" spans="2:14" ht="15" customHeight="1" x14ac:dyDescent="0.2">
      <c r="B25" s="94" t="str">
        <f>Lookup_concat(B24,Table18[Date &amp; Time],Table18[Title &amp; Time])</f>
        <v/>
      </c>
      <c r="C25" s="94" t="str">
        <f>Lookup_concat(C24,Table18[Date &amp; Time],Table18[Title &amp; Time])</f>
        <v/>
      </c>
      <c r="D25" s="94" t="str">
        <f>Lookup_concat(D24,Table18[Date &amp; Time],Table18[Title &amp; Time])</f>
        <v/>
      </c>
      <c r="E25" s="94" t="str">
        <f>Lookup_concat(E24,Table18[Date &amp; Time],Table18[Title &amp; Time])</f>
        <v/>
      </c>
      <c r="F25" s="94" t="str">
        <f>Lookup_concat(F24,Table18[Date &amp; Time],Table18[Title &amp; Time])</f>
        <v/>
      </c>
      <c r="G25" s="94" t="str">
        <f>Lookup_concat(G24,Table18[Date &amp; Time],Table18[Title &amp; Time])</f>
        <v/>
      </c>
      <c r="H25" s="96" t="str">
        <f>Lookup_concat(H24,Table18[Date &amp; Time],Table18[Title &amp; Time])</f>
        <v/>
      </c>
      <c r="I25" s="46"/>
      <c r="J25" s="42"/>
      <c r="K25" s="43"/>
      <c r="L25" s="3"/>
      <c r="M25" s="3"/>
      <c r="N25" s="3"/>
    </row>
    <row r="26" spans="2:14" x14ac:dyDescent="0.2">
      <c r="B26" s="94"/>
      <c r="C26" s="94"/>
      <c r="D26" s="94"/>
      <c r="E26" s="94"/>
      <c r="F26" s="94"/>
      <c r="G26" s="94"/>
      <c r="H26" s="96"/>
      <c r="I26" s="46"/>
      <c r="J26" s="42"/>
      <c r="K26" s="43"/>
      <c r="L26" s="3"/>
      <c r="M26" s="3"/>
      <c r="N26" s="3"/>
    </row>
    <row r="27" spans="2:14" x14ac:dyDescent="0.2">
      <c r="B27" s="94"/>
      <c r="C27" s="94"/>
      <c r="D27" s="94"/>
      <c r="E27" s="94"/>
      <c r="F27" s="94"/>
      <c r="G27" s="94"/>
      <c r="H27" s="96"/>
      <c r="I27" s="46"/>
      <c r="J27" s="42"/>
      <c r="K27" s="43"/>
      <c r="L27" s="3"/>
      <c r="M27" s="3"/>
      <c r="N27" s="3"/>
    </row>
    <row r="28" spans="2:14" x14ac:dyDescent="0.2">
      <c r="B28" s="94"/>
      <c r="C28" s="94"/>
      <c r="D28" s="94"/>
      <c r="E28" s="94"/>
      <c r="F28" s="94"/>
      <c r="G28" s="94"/>
      <c r="H28" s="96"/>
      <c r="I28" s="46"/>
      <c r="J28" s="42"/>
      <c r="K28" s="43"/>
      <c r="L28" s="3"/>
      <c r="M28" s="3"/>
      <c r="N28" s="3"/>
    </row>
    <row r="29" spans="2:14" x14ac:dyDescent="0.2">
      <c r="B29" s="95"/>
      <c r="C29" s="95"/>
      <c r="D29" s="95"/>
      <c r="E29" s="95"/>
      <c r="F29" s="95"/>
      <c r="G29" s="95"/>
      <c r="H29" s="97"/>
      <c r="I29" s="46"/>
      <c r="J29" s="42" t="str">
        <f t="array" ref="J29">IFERROR(HYPERLINK("[Calendar-monthly-view3.xlsm]Schedule!$B$"&amp;MATCH(SMALL(IF(Calendar!$K$3=INT(Table18[Date &amp; Time]),Table18[Date &amp; Time],""),ROW(A24)),Table18[Date &amp; Time],0)+2,SMALL(IF(Calendar!$K$3=INT(Table18[Date &amp; Time]),Table18[Date &amp; Time],""),ROW(A24))),"")</f>
        <v/>
      </c>
      <c r="K29" s="43" t="str">
        <f t="array" ref="K29">IFERROR(INDEX(Table18[Title],SMALL(IF(Calendar!$K$3=INT(Table18[Date &amp; Time]),MATCH(ROW(Table18[Date &amp; Time]),ROW(Table18[Date &amp; Time])),""),ROW(A24))),"")</f>
        <v/>
      </c>
      <c r="L29" s="3"/>
      <c r="M29" s="3"/>
      <c r="N29" s="3"/>
    </row>
    <row r="30" spans="2:14" x14ac:dyDescent="0.2">
      <c r="B30" s="30">
        <f>H24+1</f>
        <v>44556</v>
      </c>
      <c r="C30" s="30">
        <f t="shared" ref="C30:H30" si="4">B30+1</f>
        <v>44557</v>
      </c>
      <c r="D30" s="30">
        <f t="shared" si="4"/>
        <v>44558</v>
      </c>
      <c r="E30" s="30">
        <f t="shared" si="4"/>
        <v>44559</v>
      </c>
      <c r="F30" s="30">
        <f t="shared" si="4"/>
        <v>44560</v>
      </c>
      <c r="G30" s="30">
        <f t="shared" si="4"/>
        <v>44561</v>
      </c>
      <c r="H30" s="29">
        <f t="shared" si="4"/>
        <v>44562</v>
      </c>
      <c r="I30" s="46"/>
      <c r="J30" s="42" t="str">
        <f t="array" ref="J30">IFERROR(HYPERLINK("[Calendar-monthly-view3.xlsm]Schedule!$B$"&amp;MATCH(SMALL(IF(Calendar!$K$3=INT(Table18[Date &amp; Time]),Table18[Date &amp; Time],""),ROW(A25)),Table18[Date &amp; Time],0)+2,SMALL(IF(Calendar!$K$3=INT(Table18[Date &amp; Time]),Table18[Date &amp; Time],""),ROW(A25))),"")</f>
        <v/>
      </c>
      <c r="K30" s="43" t="str">
        <f t="array" ref="K30">IFERROR(INDEX(Table18[Title],SMALL(IF(Calendar!$K$3=INT(Table18[Date &amp; Time]),MATCH(ROW(Table18[Date &amp; Time]),ROW(Table18[Date &amp; Time])),""),ROW(A25))),"")</f>
        <v/>
      </c>
      <c r="L30" s="3"/>
      <c r="M30" s="3"/>
      <c r="N30" s="3"/>
    </row>
    <row r="31" spans="2:14" x14ac:dyDescent="0.2">
      <c r="B31" s="94" t="str">
        <f>Lookup_concat(B30,Table18[Date &amp; Time],Table18[Title &amp; Time])</f>
        <v/>
      </c>
      <c r="C31" s="94" t="str">
        <f>Lookup_concat(C30,Table18[Date &amp; Time],Table18[Title &amp; Time])</f>
        <v/>
      </c>
      <c r="D31" s="94" t="str">
        <f>Lookup_concat(D30,Table18[Date &amp; Time],Table18[Title &amp; Time])</f>
        <v/>
      </c>
      <c r="E31" s="94" t="str">
        <f>Lookup_concat(E30,Table18[Date &amp; Time],Table18[Title &amp; Time])</f>
        <v/>
      </c>
      <c r="F31" s="94" t="str">
        <f>Lookup_concat(F30,Table18[Date &amp; Time],Table18[Title &amp; Time])</f>
        <v/>
      </c>
      <c r="G31" s="94" t="str">
        <f>Lookup_concat(G30,Table18[Date &amp; Time],Table18[Title &amp; Time])</f>
        <v/>
      </c>
      <c r="H31" s="96" t="str">
        <f>Lookup_concat(H30,Table18[Date &amp; Time],Table18[Title &amp; Time])</f>
        <v/>
      </c>
      <c r="I31" s="11"/>
      <c r="J31" s="42" t="str">
        <f t="array" ref="J31">IFERROR(HYPERLINK("[Calendar-monthly-view3.xlsm]Schedule!$B$"&amp;MATCH(SMALL(IF(Calendar!$K$3=INT(Table18[Date &amp; Time]),Table18[Date &amp; Time],""),ROW(A26)),Table18[Date &amp; Time],0)+2,SMALL(IF(Calendar!$K$3=INT(Table18[Date &amp; Time]),Table18[Date &amp; Time],""),ROW(A26))),"")</f>
        <v/>
      </c>
      <c r="K31" s="43" t="str">
        <f t="array" ref="K31">IFERROR(INDEX(Table18[Title],SMALL(IF(Calendar!$K$3=INT(Table18[Date &amp; Time]),MATCH(ROW(Table18[Date &amp; Time]),ROW(Table18[Date &amp; Time])),""),ROW(A26))),"")</f>
        <v/>
      </c>
      <c r="L31" s="3"/>
      <c r="M31" s="3"/>
      <c r="N31" s="3"/>
    </row>
    <row r="32" spans="2:14" x14ac:dyDescent="0.2">
      <c r="B32" s="94"/>
      <c r="C32" s="94"/>
      <c r="D32" s="94"/>
      <c r="E32" s="94"/>
      <c r="F32" s="94"/>
      <c r="G32" s="94"/>
      <c r="H32" s="96"/>
      <c r="I32" s="11"/>
      <c r="J32" s="42" t="str">
        <f t="array" ref="J32">IFERROR(HYPERLINK("[Calendar-monthly-view3.xlsm]Schedule!$B$"&amp;MATCH(SMALL(IF(Calendar!$K$3=INT(Table18[Date &amp; Time]),Table18[Date &amp; Time],""),ROW(A27)),Table18[Date &amp; Time],0)+2,SMALL(IF(Calendar!$K$3=INT(Table18[Date &amp; Time]),Table18[Date &amp; Time],""),ROW(A27))),"")</f>
        <v/>
      </c>
      <c r="K32" s="43" t="str">
        <f t="array" ref="K32">IFERROR(INDEX(Table18[Title],SMALL(IF(Calendar!$K$3=INT(Table18[Date &amp; Time]),MATCH(ROW(Table18[Date &amp; Time]),ROW(Table18[Date &amp; Time])),""),ROW(A27))),"")</f>
        <v/>
      </c>
      <c r="L32" s="3"/>
      <c r="M32" s="3"/>
      <c r="N32" s="3"/>
    </row>
    <row r="33" spans="2:14" x14ac:dyDescent="0.2">
      <c r="B33" s="94"/>
      <c r="C33" s="94"/>
      <c r="D33" s="94"/>
      <c r="E33" s="94"/>
      <c r="F33" s="94"/>
      <c r="G33" s="94"/>
      <c r="H33" s="96"/>
      <c r="I33" s="11"/>
      <c r="J33" s="42" t="str">
        <f t="array" ref="J33">IFERROR(HYPERLINK("[Calendar-monthly-view3.xlsm]Schedule!$B$"&amp;MATCH(SMALL(IF(Calendar!$K$3=INT(Table18[Date &amp; Time]),Table18[Date &amp; Time],""),ROW(A28)),Table18[Date &amp; Time],0)+2,SMALL(IF(Calendar!$K$3=INT(Table18[Date &amp; Time]),Table18[Date &amp; Time],""),ROW(A28))),"")</f>
        <v/>
      </c>
      <c r="K33" s="43" t="str">
        <f t="array" ref="K33">IFERROR(INDEX(Table18[Title],SMALL(IF(Calendar!$K$3=INT(Table18[Date &amp; Time]),MATCH(ROW(Table18[Date &amp; Time]),ROW(Table18[Date &amp; Time])),""),ROW(A28))),"")</f>
        <v/>
      </c>
      <c r="L33" s="3"/>
      <c r="M33" s="3"/>
      <c r="N33" s="3"/>
    </row>
    <row r="34" spans="2:14" x14ac:dyDescent="0.2">
      <c r="B34" s="94"/>
      <c r="C34" s="94"/>
      <c r="D34" s="94"/>
      <c r="E34" s="94"/>
      <c r="F34" s="94"/>
      <c r="G34" s="94"/>
      <c r="H34" s="96"/>
      <c r="I34" s="11"/>
      <c r="J34" s="42" t="str">
        <f t="array" ref="J34">IFERROR(HYPERLINK("[Calendar-monthly-view3.xlsm]Schedule!$B$"&amp;MATCH(SMALL(IF(Calendar!$K$3=INT(Table18[Date &amp; Time]),Table18[Date &amp; Time],""),ROW(A29)),Table18[Date &amp; Time],0)+2,SMALL(IF(Calendar!$K$3=INT(Table18[Date &amp; Time]),Table18[Date &amp; Time],""),ROW(A29))),"")</f>
        <v/>
      </c>
      <c r="K34" s="43" t="str">
        <f t="array" ref="K34">IFERROR(INDEX(Table18[Title],SMALL(IF(Calendar!$K$3=INT(Table18[Date &amp; Time]),MATCH(ROW(Table18[Date &amp; Time]),ROW(Table18[Date &amp; Time])),""),ROW(A29))),"")</f>
        <v/>
      </c>
      <c r="L34" s="3"/>
      <c r="M34" s="3"/>
      <c r="N34" s="3"/>
    </row>
    <row r="35" spans="2:14" x14ac:dyDescent="0.2">
      <c r="B35" s="95"/>
      <c r="C35" s="95"/>
      <c r="D35" s="95"/>
      <c r="E35" s="95"/>
      <c r="F35" s="95"/>
      <c r="G35" s="95"/>
      <c r="H35" s="97"/>
      <c r="I35" s="11"/>
      <c r="J35" s="42" t="str">
        <f t="array" ref="J35">IFERROR(HYPERLINK("[Calendar-monthly-view3.xlsm]Schedule!$B$"&amp;MATCH(SMALL(IF(Calendar!$K$3=INT(Table18[Date &amp; Time]),Table18[Date &amp; Time],""),ROW(A30)),Table18[Date &amp; Time],0)+2,SMALL(IF(Calendar!$K$3=INT(Table18[Date &amp; Time]),Table18[Date &amp; Time],""),ROW(A30))),"")</f>
        <v/>
      </c>
      <c r="K35" s="43" t="str">
        <f t="array" ref="K35">IFERROR(INDEX(Table18[Title],SMALL(IF(Calendar!$K$3=INT(Table18[Date &amp; Time]),MATCH(ROW(Table18[Date &amp; Time]),ROW(Table18[Date &amp; Time])),""),ROW(A30))),"")</f>
        <v/>
      </c>
      <c r="L35" s="3"/>
      <c r="M35" s="3"/>
      <c r="N35" s="3"/>
    </row>
    <row r="36" spans="2:14" x14ac:dyDescent="0.2">
      <c r="B36" s="30">
        <f>H30+1</f>
        <v>44563</v>
      </c>
      <c r="C36" s="30">
        <f t="shared" ref="C36:H36" si="5">B36+1</f>
        <v>44564</v>
      </c>
      <c r="D36" s="30">
        <f t="shared" si="5"/>
        <v>44565</v>
      </c>
      <c r="E36" s="30">
        <f t="shared" si="5"/>
        <v>44566</v>
      </c>
      <c r="F36" s="30">
        <f t="shared" si="5"/>
        <v>44567</v>
      </c>
      <c r="G36" s="30">
        <f t="shared" si="5"/>
        <v>44568</v>
      </c>
      <c r="H36" s="29">
        <f t="shared" si="5"/>
        <v>44569</v>
      </c>
      <c r="I36" s="11"/>
      <c r="J36" s="42" t="str">
        <f t="array" ref="J36">IFERROR(HYPERLINK("[Calendar-monthly-view3.xlsm]Schedule!$B$"&amp;MATCH(SMALL(IF(Calendar!$K$3=INT(Table18[Date &amp; Time]),Table18[Date &amp; Time],""),ROW(A31)),Table18[Date &amp; Time],0)+2,SMALL(IF(Calendar!$K$3=INT(Table18[Date &amp; Time]),Table18[Date &amp; Time],""),ROW(A31))),"")</f>
        <v/>
      </c>
      <c r="K36" s="43" t="str">
        <f t="array" ref="K36">IFERROR(INDEX(Table18[Title],SMALL(IF(Calendar!$K$3=INT(Table18[Date &amp; Time]),MATCH(ROW(Table18[Date &amp; Time]),ROW(Table18[Date &amp; Time])),""),ROW(A31))),"")</f>
        <v/>
      </c>
      <c r="L36" s="3"/>
      <c r="M36" s="3"/>
      <c r="N36" s="3"/>
    </row>
    <row r="37" spans="2:14" x14ac:dyDescent="0.2">
      <c r="B37" s="94" t="str">
        <f>Lookup_concat(B36,Table18[Date &amp; Time],Table18[Title &amp; Time])</f>
        <v/>
      </c>
      <c r="C37" s="94" t="str">
        <f>Lookup_concat(C36,Table18[Date &amp; Time],Table18[Title &amp; Time])</f>
        <v/>
      </c>
      <c r="D37" s="94" t="str">
        <f>Lookup_concat(D36,Table18[Date &amp; Time],Table18[Title &amp; Time])</f>
        <v/>
      </c>
      <c r="E37" s="94" t="str">
        <f>Lookup_concat(E36,Table18[Date &amp; Time],Table18[Title &amp; Time])</f>
        <v/>
      </c>
      <c r="F37" s="94" t="str">
        <f>Lookup_concat(F36,Table18[Date &amp; Time],Table18[Title &amp; Time])</f>
        <v/>
      </c>
      <c r="G37" s="94" t="str">
        <f>Lookup_concat(G36,Table18[Date &amp; Time],Table18[Title &amp; Time])</f>
        <v/>
      </c>
      <c r="H37" s="96" t="str">
        <f>Lookup_concat(H36,Table18[Date &amp; Time],Table18[Title &amp; Time])</f>
        <v/>
      </c>
      <c r="I37" s="11"/>
      <c r="J37" s="42" t="str">
        <f t="array" ref="J37">IFERROR(HYPERLINK("[Calendar-monthly-view3.xlsm]Schedule!$B$"&amp;MATCH(SMALL(IF(Calendar!$K$3=INT(Table18[Date &amp; Time]),Table18[Date &amp; Time],""),ROW(A32)),Table18[Date &amp; Time],0)+2,SMALL(IF(Calendar!$K$3=INT(Table18[Date &amp; Time]),Table18[Date &amp; Time],""),ROW(A32))),"")</f>
        <v/>
      </c>
      <c r="K37" s="43" t="str">
        <f t="array" ref="K37">IFERROR(INDEX(Table18[Title],SMALL(IF(Calendar!$K$3=INT(Table18[Date &amp; Time]),MATCH(ROW(Table18[Date &amp; Time]),ROW(Table18[Date &amp; Time])),""),ROW(A32))),"")</f>
        <v/>
      </c>
      <c r="L37" s="3"/>
      <c r="M37" s="3"/>
      <c r="N37" s="3"/>
    </row>
    <row r="38" spans="2:14" x14ac:dyDescent="0.2">
      <c r="B38" s="94"/>
      <c r="C38" s="94"/>
      <c r="D38" s="94"/>
      <c r="E38" s="94"/>
      <c r="F38" s="94"/>
      <c r="G38" s="94"/>
      <c r="H38" s="96"/>
      <c r="I38" s="11"/>
      <c r="J38" s="42" t="str">
        <f t="array" ref="J38">IFERROR(HYPERLINK("[Calendar-monthly-view3.xlsm]Schedule!$B$"&amp;MATCH(SMALL(IF(Calendar!$K$3=INT(Table18[Date &amp; Time]),Table18[Date &amp; Time],""),ROW(A33)),Table18[Date &amp; Time],0)+2,SMALL(IF(Calendar!$K$3=INT(Table18[Date &amp; Time]),Table18[Date &amp; Time],""),ROW(A33))),"")</f>
        <v/>
      </c>
      <c r="K38" s="43" t="str">
        <f t="array" ref="K38">IFERROR(INDEX(Table18[Title],SMALL(IF(Calendar!$K$3=INT(Table18[Date &amp; Time]),MATCH(ROW(Table18[Date &amp; Time]),ROW(Table18[Date &amp; Time])),""),ROW(A33))),"")</f>
        <v/>
      </c>
      <c r="L38" s="3"/>
      <c r="M38" s="3"/>
      <c r="N38" s="3"/>
    </row>
    <row r="39" spans="2:14" x14ac:dyDescent="0.2">
      <c r="B39" s="94"/>
      <c r="C39" s="94"/>
      <c r="D39" s="94"/>
      <c r="E39" s="94"/>
      <c r="F39" s="94"/>
      <c r="G39" s="94"/>
      <c r="H39" s="96"/>
      <c r="I39" s="11"/>
      <c r="J39" s="42" t="str">
        <f t="array" ref="J39">IFERROR(HYPERLINK("[Calendar-monthly-view3.xlsm]Schedule!$B$"&amp;MATCH(SMALL(IF(Calendar!$K$3=INT(Table18[Date &amp; Time]),Table18[Date &amp; Time],""),ROW(A34)),Table18[Date &amp; Time],0)+2,SMALL(IF(Calendar!$K$3=INT(Table18[Date &amp; Time]),Table18[Date &amp; Time],""),ROW(A34))),"")</f>
        <v/>
      </c>
      <c r="K39" s="43" t="str">
        <f t="array" ref="K39">IFERROR(INDEX(Table18[Title],SMALL(IF(Calendar!$K$3=INT(Table18[Date &amp; Time]),MATCH(ROW(Table18[Date &amp; Time]),ROW(Table18[Date &amp; Time])),""),ROW(A34))),"")</f>
        <v/>
      </c>
      <c r="L39" s="3"/>
      <c r="M39" s="3"/>
      <c r="N39" s="3"/>
    </row>
    <row r="40" spans="2:14" x14ac:dyDescent="0.2">
      <c r="B40" s="94"/>
      <c r="C40" s="94"/>
      <c r="D40" s="94"/>
      <c r="E40" s="94"/>
      <c r="F40" s="94"/>
      <c r="G40" s="94"/>
      <c r="H40" s="96"/>
      <c r="I40" s="11"/>
      <c r="J40" s="3"/>
      <c r="K40" s="3"/>
      <c r="L40" s="3"/>
      <c r="M40" s="3"/>
      <c r="N40" s="3"/>
    </row>
    <row r="41" spans="2:14" x14ac:dyDescent="0.2">
      <c r="B41" s="95"/>
      <c r="C41" s="95"/>
      <c r="D41" s="95"/>
      <c r="E41" s="95"/>
      <c r="F41" s="95"/>
      <c r="G41" s="95"/>
      <c r="H41" s="97"/>
      <c r="I41" s="11"/>
      <c r="J41" s="3"/>
      <c r="K41" s="3"/>
      <c r="L41" s="3"/>
      <c r="M41" s="3"/>
      <c r="N41" s="3"/>
    </row>
  </sheetData>
  <mergeCells count="43">
    <mergeCell ref="F7:F11"/>
    <mergeCell ref="G7:G11"/>
    <mergeCell ref="G25:G29"/>
    <mergeCell ref="H25:H29"/>
    <mergeCell ref="H7:H11"/>
    <mergeCell ref="F13:F17"/>
    <mergeCell ref="G13:G17"/>
    <mergeCell ref="H13:H17"/>
    <mergeCell ref="D2:E3"/>
    <mergeCell ref="B19:B23"/>
    <mergeCell ref="C19:C23"/>
    <mergeCell ref="D19:D23"/>
    <mergeCell ref="E19:E23"/>
    <mergeCell ref="D7:D11"/>
    <mergeCell ref="E7:E11"/>
    <mergeCell ref="B13:B17"/>
    <mergeCell ref="C13:C17"/>
    <mergeCell ref="D13:D17"/>
    <mergeCell ref="E13:E17"/>
    <mergeCell ref="B7:B11"/>
    <mergeCell ref="C7:C11"/>
    <mergeCell ref="G37:G41"/>
    <mergeCell ref="H37:H41"/>
    <mergeCell ref="B31:B35"/>
    <mergeCell ref="C31:C35"/>
    <mergeCell ref="B25:B29"/>
    <mergeCell ref="C25:C29"/>
    <mergeCell ref="D25:D29"/>
    <mergeCell ref="E25:E29"/>
    <mergeCell ref="F25:F29"/>
    <mergeCell ref="B37:B41"/>
    <mergeCell ref="C37:C41"/>
    <mergeCell ref="D37:D41"/>
    <mergeCell ref="E37:E41"/>
    <mergeCell ref="F37:F41"/>
    <mergeCell ref="D31:D35"/>
    <mergeCell ref="E31:E35"/>
    <mergeCell ref="F31:F35"/>
    <mergeCell ref="G31:G35"/>
    <mergeCell ref="H19:H23"/>
    <mergeCell ref="H31:H35"/>
    <mergeCell ref="F19:F23"/>
    <mergeCell ref="G19:G23"/>
  </mergeCells>
  <conditionalFormatting sqref="B24:H29">
    <cfRule type="expression" dxfId="10" priority="1">
      <formula>B$24=TODAY()</formula>
    </cfRule>
  </conditionalFormatting>
  <conditionalFormatting sqref="B6:H11">
    <cfRule type="expression" dxfId="9" priority="2">
      <formula>B$6=TODAY()</formula>
    </cfRule>
    <cfRule type="expression" dxfId="8" priority="3">
      <formula>MONTH(B$6)&lt;&gt;MONTH($D$2)</formula>
    </cfRule>
  </conditionalFormatting>
  <conditionalFormatting sqref="B12:H17">
    <cfRule type="expression" dxfId="7" priority="4">
      <formula>B$12=TODAY()</formula>
    </cfRule>
    <cfRule type="expression" dxfId="6" priority="5">
      <formula>MONTH(B$12)&lt;&gt;MONTH($D$2)</formula>
    </cfRule>
  </conditionalFormatting>
  <conditionalFormatting sqref="B18:H23">
    <cfRule type="expression" dxfId="5" priority="6">
      <formula>B$18=TODAY()</formula>
    </cfRule>
    <cfRule type="expression" dxfId="4" priority="7">
      <formula>MONTH(B$18)&lt;&gt;MONTH($D$2)</formula>
    </cfRule>
  </conditionalFormatting>
  <conditionalFormatting sqref="B30:H35">
    <cfRule type="expression" dxfId="3" priority="8">
      <formula>B$30=TODAY()</formula>
    </cfRule>
    <cfRule type="expression" dxfId="2" priority="9">
      <formula>MONTH(B$30)&lt;&gt;MONTH($D$2)</formula>
    </cfRule>
  </conditionalFormatting>
  <conditionalFormatting sqref="B36:H41">
    <cfRule type="expression" dxfId="1" priority="10">
      <formula>B$36=TODAY()</formula>
    </cfRule>
    <cfRule type="expression" dxfId="0" priority="11">
      <formula>MONTH(B$36)&lt;&gt;MONTH($D$2)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ButtonDay_Click">
                <anchor moveWithCells="1" sizeWithCells="1">
                  <from>
                    <xdr:col>5</xdr:col>
                    <xdr:colOff>711200</xdr:colOff>
                    <xdr:row>2</xdr:row>
                    <xdr:rowOff>0</xdr:rowOff>
                  </from>
                  <to>
                    <xdr:col>5</xdr:col>
                    <xdr:colOff>1168400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PreviousMonth">
                <anchor moveWithCells="1" sizeWithCells="1">
                  <from>
                    <xdr:col>6</xdr:col>
                    <xdr:colOff>711200</xdr:colOff>
                    <xdr:row>2</xdr:row>
                    <xdr:rowOff>0</xdr:rowOff>
                  </from>
                  <to>
                    <xdr:col>6</xdr:col>
                    <xdr:colOff>1168400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NextMonth">
                <anchor moveWithCells="1" sizeWithCells="1">
                  <from>
                    <xdr:col>7</xdr:col>
                    <xdr:colOff>101600</xdr:colOff>
                    <xdr:row>2</xdr:row>
                    <xdr:rowOff>0</xdr:rowOff>
                  </from>
                  <to>
                    <xdr:col>7</xdr:col>
                    <xdr:colOff>558800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7" name="Button 5">
              <controlPr defaultSize="0" print="0" autoFill="0" autoPict="0" macro="[0]!HomeNav_Click">
                <anchor moveWithCells="1" sizeWithCells="1">
                  <from>
                    <xdr:col>1</xdr:col>
                    <xdr:colOff>25400</xdr:colOff>
                    <xdr:row>0</xdr:row>
                    <xdr:rowOff>177800</xdr:rowOff>
                  </from>
                  <to>
                    <xdr:col>1</xdr:col>
                    <xdr:colOff>609600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8" name="Button 6">
              <controlPr defaultSize="0" print="0" autoFill="0" autoPict="0" macro="[0]!ScheduleNav_Click">
                <anchor moveWithCells="1" sizeWithCells="1">
                  <from>
                    <xdr:col>1</xdr:col>
                    <xdr:colOff>736600</xdr:colOff>
                    <xdr:row>0</xdr:row>
                    <xdr:rowOff>177800</xdr:rowOff>
                  </from>
                  <to>
                    <xdr:col>2</xdr:col>
                    <xdr:colOff>101600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10" ma:contentTypeDescription="Create a new document." ma:contentTypeScope="" ma:versionID="e27858f8a0408ae4ffb6ee96cf8a22bd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ebfca3b52ef0bbda068d087c0f624027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288FEB-94BA-4977-82AB-68C7BFC6BB0B}">
  <ds:schemaRefs>
    <ds:schemaRef ds:uri="http://purl.org/dc/dcmitype/"/>
    <ds:schemaRef ds:uri="http://purl.org/dc/terms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elements/1.1/"/>
    <ds:schemaRef ds:uri="http://schemas.openxmlformats.org/package/2006/metadata/core-properties"/>
    <ds:schemaRef ds:uri="9ad7a586-468b-408f-bee0-f7f70b225374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C05FF9E-7B18-43C4-9FEC-12F687CEF9C2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4D9AE93-A613-477E-ABBD-50BC73D3B24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6A186FE-696F-4472-83A7-0D162CAD43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Home</vt:lpstr>
      <vt:lpstr>Time Spending Input</vt:lpstr>
      <vt:lpstr>ToDoList</vt:lpstr>
      <vt:lpstr>Trackers</vt:lpstr>
      <vt:lpstr>Output</vt:lpstr>
      <vt:lpstr>Schedule</vt:lpstr>
      <vt:lpstr>Calendar</vt:lpstr>
      <vt:lpstr>Calendar!Start</vt:lpstr>
      <vt:lpstr>Schedule!Start</vt:lpstr>
      <vt:lpstr>Calendar!Title</vt:lpstr>
      <vt:lpstr>Schedule!Title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Cuthbert Liaw</dc:creator>
  <cp:keywords/>
  <dc:description/>
  <cp:lastModifiedBy>Microsoft Office User</cp:lastModifiedBy>
  <cp:revision/>
  <dcterms:created xsi:type="dcterms:W3CDTF">2021-10-26T04:32:41Z</dcterms:created>
  <dcterms:modified xsi:type="dcterms:W3CDTF">2022-04-18T22:37:57Z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